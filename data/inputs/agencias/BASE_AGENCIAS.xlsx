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e66243f108409f2/Área de Trabalho/Itaú/CICF/DataCraft/Verificador Inteligente de Obras/codes/construct-cost-ai/data/inputs/agencias/"/>
    </mc:Choice>
  </mc:AlternateContent>
  <xr:revisionPtr revIDLastSave="102" documentId="11_AD4D361C20488DEA4E38A076EC1B5A785BDEDD80" xr6:coauthVersionLast="47" xr6:coauthVersionMax="47" xr10:uidLastSave="{F715137D-F9E2-4E44-BCA2-97F5B065FF58}"/>
  <bookViews>
    <workbookView xWindow="-28920" yWindow="-120" windowWidth="29040" windowHeight="15720" xr2:uid="{00000000-000D-0000-FFFF-FFFF00000000}"/>
  </bookViews>
  <sheets>
    <sheet name="Plan1" sheetId="1" r:id="rId1"/>
    <sheet name="Planilha1" sheetId="2" r:id="rId2"/>
  </sheets>
  <definedNames>
    <definedName name="_xlnm._FilterDatabase" localSheetId="0" hidden="1">Plan1!$A$1:$R$31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" i="2"/>
  <c r="J2" i="2"/>
</calcChain>
</file>

<file path=xl/sharedStrings.xml><?xml version="1.0" encoding="utf-8"?>
<sst xmlns="http://schemas.openxmlformats.org/spreadsheetml/2006/main" count="597" uniqueCount="205">
  <si>
    <t>CD_PONTO</t>
  </si>
  <si>
    <t>UF</t>
  </si>
  <si>
    <t>CIDADE</t>
  </si>
  <si>
    <t>REGIAO</t>
  </si>
  <si>
    <t>ÚLTIMA REFORMA</t>
  </si>
  <si>
    <t>LOCALIZADA</t>
  </si>
  <si>
    <t>Itaú Centro São Paulo</t>
  </si>
  <si>
    <t>Sudeste</t>
  </si>
  <si>
    <t>SP</t>
  </si>
  <si>
    <t>São Paulo</t>
  </si>
  <si>
    <t>Rua</t>
  </si>
  <si>
    <t>Standard</t>
  </si>
  <si>
    <t>2019-06</t>
  </si>
  <si>
    <t>Itaú Paulista Person</t>
  </si>
  <si>
    <t>Premium</t>
  </si>
  <si>
    <t>2022-11</t>
  </si>
  <si>
    <t>Itaú Campinas Centro</t>
  </si>
  <si>
    <t>Campinas</t>
  </si>
  <si>
    <t>2018-03</t>
  </si>
  <si>
    <t>Itaú Santos Gonzaga</t>
  </si>
  <si>
    <t>Santos</t>
  </si>
  <si>
    <t>Shopping</t>
  </si>
  <si>
    <t>Ultralight</t>
  </si>
  <si>
    <t>2020-09</t>
  </si>
  <si>
    <t>Itaú Ribeirão Preto Person</t>
  </si>
  <si>
    <t>Ribeirão Preto</t>
  </si>
  <si>
    <t>2021-01</t>
  </si>
  <si>
    <t>Itaú São Bernardo Centro</t>
  </si>
  <si>
    <t>São Bernardo</t>
  </si>
  <si>
    <t>2017-10</t>
  </si>
  <si>
    <t>Itaú BH Savassi</t>
  </si>
  <si>
    <t>MG</t>
  </si>
  <si>
    <t>Belo Horizonte</t>
  </si>
  <si>
    <t>2023-04</t>
  </si>
  <si>
    <t>Itaú Uberlândia Centro</t>
  </si>
  <si>
    <t>Uberlândia</t>
  </si>
  <si>
    <t>2017-08</t>
  </si>
  <si>
    <t>Itaú Contagem Shopping</t>
  </si>
  <si>
    <t>Contagem</t>
  </si>
  <si>
    <t>2019-12</t>
  </si>
  <si>
    <t>Itaú Rio Branco Centro</t>
  </si>
  <si>
    <t>Norte</t>
  </si>
  <si>
    <t>AC</t>
  </si>
  <si>
    <t>Rio Branco</t>
  </si>
  <si>
    <t>2016-05</t>
  </si>
  <si>
    <t>Itaú Manaus Adrianópolis</t>
  </si>
  <si>
    <t>AM</t>
  </si>
  <si>
    <t>Manaus</t>
  </si>
  <si>
    <t>2020-12</t>
  </si>
  <si>
    <t>Itaú Manaus Shopping</t>
  </si>
  <si>
    <t>2022-02</t>
  </si>
  <si>
    <t>Itaú Salvador Comércio</t>
  </si>
  <si>
    <t>Nordeste</t>
  </si>
  <si>
    <t>BA</t>
  </si>
  <si>
    <t>Salvador</t>
  </si>
  <si>
    <t>2019-10</t>
  </si>
  <si>
    <t>Itaú Fortaleza Aldeota</t>
  </si>
  <si>
    <t>CE</t>
  </si>
  <si>
    <t>Fortaleza</t>
  </si>
  <si>
    <t>2022-07</t>
  </si>
  <si>
    <t>Itaú Recife Boa Viagem</t>
  </si>
  <si>
    <t>PE</t>
  </si>
  <si>
    <t>Recife</t>
  </si>
  <si>
    <t>2018-06</t>
  </si>
  <si>
    <t>Itaú Natal Shopping</t>
  </si>
  <si>
    <t>RN</t>
  </si>
  <si>
    <t>Natal</t>
  </si>
  <si>
    <t>2021-09</t>
  </si>
  <si>
    <t>Itaú Curitiba Batel</t>
  </si>
  <si>
    <t>Sul</t>
  </si>
  <si>
    <t>PR</t>
  </si>
  <si>
    <t>Curitiba</t>
  </si>
  <si>
    <t>2021-05</t>
  </si>
  <si>
    <t>Itaú Londrina Centro</t>
  </si>
  <si>
    <t>Londrina</t>
  </si>
  <si>
    <t>2018-11</t>
  </si>
  <si>
    <t>Itaú Florianópolis Centro</t>
  </si>
  <si>
    <t>SC</t>
  </si>
  <si>
    <t>Florianópolis</t>
  </si>
  <si>
    <t>2017-04</t>
  </si>
  <si>
    <t>Itaú Joinville Shopping</t>
  </si>
  <si>
    <t>Joinville</t>
  </si>
  <si>
    <t>2020-08</t>
  </si>
  <si>
    <t>Itaú Goiânia Setor Oeste</t>
  </si>
  <si>
    <t>Centro-Oeste</t>
  </si>
  <si>
    <t>GO</t>
  </si>
  <si>
    <t>Goiânia</t>
  </si>
  <si>
    <t>2019-02</t>
  </si>
  <si>
    <t>Itaú Campo Grande Centro</t>
  </si>
  <si>
    <t>MS</t>
  </si>
  <si>
    <t>Campo Grande</t>
  </si>
  <si>
    <t>2017-06</t>
  </si>
  <si>
    <t>Itaú Cuiabá Shopping</t>
  </si>
  <si>
    <t>MT</t>
  </si>
  <si>
    <t>Cuiabá</t>
  </si>
  <si>
    <t>2022-03</t>
  </si>
  <si>
    <t>Itaú Brasília Asa Sul</t>
  </si>
  <si>
    <t>DF</t>
  </si>
  <si>
    <t>Brasília</t>
  </si>
  <si>
    <t>2020-11</t>
  </si>
  <si>
    <t>Itaú Niterói Centro</t>
  </si>
  <si>
    <t>RJ</t>
  </si>
  <si>
    <t>Niterói</t>
  </si>
  <si>
    <t>2018-09</t>
  </si>
  <si>
    <t>Itaú Rio de Janeiro Centro</t>
  </si>
  <si>
    <t>Rio de Janeiro</t>
  </si>
  <si>
    <t>2016-12</t>
  </si>
  <si>
    <t>Itaú Barra Shopping</t>
  </si>
  <si>
    <t>2023-01</t>
  </si>
  <si>
    <t>Itaú Volta Redonda Centro</t>
  </si>
  <si>
    <t>Volta Redonda</t>
  </si>
  <si>
    <t>2019-05</t>
  </si>
  <si>
    <t>Itaú São Luís Centro</t>
  </si>
  <si>
    <t>MA</t>
  </si>
  <si>
    <t>São Luís</t>
  </si>
  <si>
    <t>2017-03</t>
  </si>
  <si>
    <t>Itaú Teresina Shopping</t>
  </si>
  <si>
    <t>PI</t>
  </si>
  <si>
    <t>Teresina</t>
  </si>
  <si>
    <t>2021-10</t>
  </si>
  <si>
    <t>BANCO</t>
  </si>
  <si>
    <t>ESPAÇO ITAÚ</t>
  </si>
  <si>
    <t>FULL SERVICE</t>
  </si>
  <si>
    <t>NOME DO PONTO</t>
  </si>
  <si>
    <t>MODELO</t>
  </si>
  <si>
    <t>TIPO DO PONTO</t>
  </si>
  <si>
    <t>AG</t>
  </si>
  <si>
    <t>QUADRO TOTAL</t>
  </si>
  <si>
    <t>ENDEREÇO</t>
  </si>
  <si>
    <t>CEP</t>
  </si>
  <si>
    <t>LATITUDE</t>
  </si>
  <si>
    <t>LONGITUDE</t>
  </si>
  <si>
    <t>Av. São João, 1240 – Centro</t>
  </si>
  <si>
    <t>01036-100</t>
  </si>
  <si>
    <t>Av. Paulista, 1578 – Bela Vista</t>
  </si>
  <si>
    <t>01310-200</t>
  </si>
  <si>
    <t>Rua Barão de Jaguara, 707 – Centro</t>
  </si>
  <si>
    <t>13015-002</t>
  </si>
  <si>
    <t>Av. Ana Costa, 410 – Gonzaga</t>
  </si>
  <si>
    <t>11060-002</t>
  </si>
  <si>
    <t>Av. Pres. Vargas, 1265 – Jardim América</t>
  </si>
  <si>
    <t>14020-525</t>
  </si>
  <si>
    <t>Rua Marechal Deodoro, 1500 – Centro</t>
  </si>
  <si>
    <t>09710-001</t>
  </si>
  <si>
    <t>Av. do Contorno, 6061 – Savassi</t>
  </si>
  <si>
    <t>30110-042</t>
  </si>
  <si>
    <t>Av. Afonso Pena, 1200 – Centro</t>
  </si>
  <si>
    <t>38400-128</t>
  </si>
  <si>
    <t>Av. Severino Ballesteros, 850 – Cabral</t>
  </si>
  <si>
    <t>32146-240</t>
  </si>
  <si>
    <t>Av. Getúlio Vargas, 235 – Centro</t>
  </si>
  <si>
    <t>69900-607</t>
  </si>
  <si>
    <t>Av. Djalma Batista, 1661 – Adrianópolis</t>
  </si>
  <si>
    <t>69057-010</t>
  </si>
  <si>
    <t>Av. Mário Ypiranga, 1300 – Adrianópolis</t>
  </si>
  <si>
    <t>69057-002</t>
  </si>
  <si>
    <t>Rua Chile, 15 – Comércio</t>
  </si>
  <si>
    <t>40020-000</t>
  </si>
  <si>
    <t>Av. Dom Luís, 500 – Aldeota</t>
  </si>
  <si>
    <t>60160-230</t>
  </si>
  <si>
    <t>Av. Boa Viagem, 1320 – Boa Viagem</t>
  </si>
  <si>
    <t>51011-000</t>
  </si>
  <si>
    <t>Av. Sen. Salgado Filho, 2234 – Candelária</t>
  </si>
  <si>
    <t>59064-900</t>
  </si>
  <si>
    <t>Av. do Batel, 1868 – Batel</t>
  </si>
  <si>
    <t>80420-090</t>
  </si>
  <si>
    <t>Av. Paraná, 620 – Centro</t>
  </si>
  <si>
    <t>86020-360</t>
  </si>
  <si>
    <t>Rua Felipe Schmidt, 515 – Centro</t>
  </si>
  <si>
    <t>88010-002</t>
  </si>
  <si>
    <t>Av. Rolf Wiest, 333 – Bom Retiro</t>
  </si>
  <si>
    <t>89223-005</t>
  </si>
  <si>
    <t>Av. Anhanguera, 1070 – Setor Oeste</t>
  </si>
  <si>
    <t>74110-010</t>
  </si>
  <si>
    <t>Av. Afonso Pena, 2580 – Centro</t>
  </si>
  <si>
    <t>79002-072</t>
  </si>
  <si>
    <t>Av. Historiador Rubens de Mendonça, 3300</t>
  </si>
  <si>
    <t>78049-300</t>
  </si>
  <si>
    <t>SQS 308 Bloco A – Asa Sul</t>
  </si>
  <si>
    <t>70351-010</t>
  </si>
  <si>
    <t>Rua da Conceição, 188 – Centro</t>
  </si>
  <si>
    <t>24020-087</t>
  </si>
  <si>
    <t>Av. Rio Branco, 156 – Centro</t>
  </si>
  <si>
    <t>20040-901</t>
  </si>
  <si>
    <t>Av. das Américas, 4666 – Barra da Tijuca</t>
  </si>
  <si>
    <t>22640-102</t>
  </si>
  <si>
    <t>Av. Amaral Peixoto, 350 – Centro</t>
  </si>
  <si>
    <t>27253-040</t>
  </si>
  <si>
    <t>Rua Grande, 540 – Centro</t>
  </si>
  <si>
    <t>65010-230</t>
  </si>
  <si>
    <t>Av. Raul Lopes, 1000 – Noivos</t>
  </si>
  <si>
    <t>64049-548</t>
  </si>
  <si>
    <t>RESTRICAO LEGAL</t>
  </si>
  <si>
    <t>FLUXO (EA + TCX)</t>
  </si>
  <si>
    <t>PERSONNALITE</t>
  </si>
  <si>
    <t>EM LEVANTAMENTO/CONFIRMAÇÃO</t>
  </si>
  <si>
    <t>ÁREA ENVOLTÓRIA</t>
  </si>
  <si>
    <t>TOMBADO</t>
  </si>
  <si>
    <t>ITAU</t>
  </si>
  <si>
    <t>IMÓVEL SEM RESTRIÇÃO</t>
  </si>
  <si>
    <t>SEM TIPO DE RESTRICAO LEGAL</t>
  </si>
  <si>
    <t>Condomínio</t>
  </si>
  <si>
    <t>-</t>
  </si>
  <si>
    <t>ENDERECO</t>
  </si>
  <si>
    <t>ARQUETIPO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</si>
</sst>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"/>
  <sheetViews>
    <sheetView tabSelected="1" workbookViewId="0"/>
  </sheetViews>
  <sheetFormatPr defaultRowHeight="14.4" x14ac:dyDescent="0.3"/>
  <cols>
    <col min="1" max="1" width="11.21875" style="6" customWidth="1"/>
    <col min="2" max="2" width="18.88671875" style="6" customWidth="1"/>
    <col min="3" max="4" width="11.21875" style="6" customWidth="1"/>
    <col min="5" max="6" width="11.21875" style="7" customWidth="1"/>
    <col min="7" max="9" width="11.21875" style="6" customWidth="1"/>
    <col min="10" max="10" width="12.77734375" style="6" customWidth="1"/>
    <col min="11" max="11" width="14.21875" style="6" customWidth="1"/>
    <col min="12" max="12" width="14.5546875" style="6" customWidth="1"/>
    <col min="13" max="13" width="12.77734375" style="6" customWidth="1"/>
    <col min="14" max="14" width="11.21875" style="6" customWidth="1"/>
    <col min="15" max="15" width="17.33203125" style="6" customWidth="1"/>
    <col min="16" max="17" width="19.21875" style="6" customWidth="1"/>
    <col min="18" max="18" width="8.88671875" style="6"/>
  </cols>
  <sheetData>
    <row r="1" spans="1:18" ht="28.8" x14ac:dyDescent="0.3">
      <c r="A1" s="2" t="s">
        <v>0</v>
      </c>
      <c r="B1" s="2" t="s">
        <v>123</v>
      </c>
      <c r="C1" s="2" t="s">
        <v>203</v>
      </c>
      <c r="D1" s="2" t="s">
        <v>129</v>
      </c>
      <c r="E1" s="5" t="s">
        <v>130</v>
      </c>
      <c r="F1" s="5" t="s">
        <v>131</v>
      </c>
      <c r="G1" s="2" t="s">
        <v>3</v>
      </c>
      <c r="H1" s="2" t="s">
        <v>1</v>
      </c>
      <c r="I1" s="2" t="s">
        <v>2</v>
      </c>
      <c r="J1" s="2" t="s">
        <v>5</v>
      </c>
      <c r="K1" s="2" t="s">
        <v>120</v>
      </c>
      <c r="L1" s="2" t="s">
        <v>125</v>
      </c>
      <c r="M1" s="2" t="s">
        <v>124</v>
      </c>
      <c r="N1" s="2" t="s">
        <v>204</v>
      </c>
      <c r="O1" s="2" t="s">
        <v>192</v>
      </c>
      <c r="P1" s="2" t="s">
        <v>4</v>
      </c>
      <c r="Q1" s="2" t="s">
        <v>193</v>
      </c>
      <c r="R1" s="2" t="s">
        <v>127</v>
      </c>
    </row>
    <row r="2" spans="1:18" ht="43.2" x14ac:dyDescent="0.3">
      <c r="A2" s="1">
        <v>1001</v>
      </c>
      <c r="B2" s="1" t="s">
        <v>6</v>
      </c>
      <c r="C2" s="1" t="s">
        <v>132</v>
      </c>
      <c r="D2" s="1" t="s">
        <v>133</v>
      </c>
      <c r="E2" s="6">
        <v>-23.543900000000001</v>
      </c>
      <c r="F2" s="6">
        <v>-46.640999999999998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194</v>
      </c>
      <c r="L2" s="1" t="s">
        <v>126</v>
      </c>
      <c r="M2" s="1" t="s">
        <v>122</v>
      </c>
      <c r="N2" s="1" t="s">
        <v>11</v>
      </c>
      <c r="O2" s="1" t="s">
        <v>195</v>
      </c>
      <c r="P2" s="1" t="s">
        <v>12</v>
      </c>
      <c r="Q2" s="1">
        <v>8119</v>
      </c>
      <c r="R2" s="6">
        <v>13</v>
      </c>
    </row>
    <row r="3" spans="1:18" ht="43.2" x14ac:dyDescent="0.3">
      <c r="A3" s="1">
        <v>1002</v>
      </c>
      <c r="B3" s="1" t="s">
        <v>13</v>
      </c>
      <c r="C3" s="1" t="s">
        <v>134</v>
      </c>
      <c r="D3" s="1" t="s">
        <v>135</v>
      </c>
      <c r="E3" s="6">
        <v>-23.561499999999999</v>
      </c>
      <c r="F3" s="6">
        <v>-46.656300000000002</v>
      </c>
      <c r="G3" s="1" t="s">
        <v>7</v>
      </c>
      <c r="H3" s="1" t="s">
        <v>8</v>
      </c>
      <c r="I3" s="1" t="s">
        <v>9</v>
      </c>
      <c r="J3" s="1" t="s">
        <v>21</v>
      </c>
      <c r="K3" s="1" t="s">
        <v>194</v>
      </c>
      <c r="L3" s="1" t="s">
        <v>126</v>
      </c>
      <c r="M3" s="1" t="s">
        <v>122</v>
      </c>
      <c r="N3" s="1" t="s">
        <v>14</v>
      </c>
      <c r="O3" s="1" t="s">
        <v>196</v>
      </c>
      <c r="P3" s="1" t="s">
        <v>15</v>
      </c>
      <c r="Q3" s="1">
        <v>4126</v>
      </c>
      <c r="R3" s="6">
        <v>34</v>
      </c>
    </row>
    <row r="4" spans="1:18" ht="57.6" x14ac:dyDescent="0.3">
      <c r="A4" s="1">
        <v>1003</v>
      </c>
      <c r="B4" s="1" t="s">
        <v>16</v>
      </c>
      <c r="C4" s="1" t="s">
        <v>136</v>
      </c>
      <c r="D4" s="1" t="s">
        <v>137</v>
      </c>
      <c r="E4" s="6">
        <v>-22.9056</v>
      </c>
      <c r="F4" s="6">
        <v>-47.0608</v>
      </c>
      <c r="G4" s="1" t="s">
        <v>7</v>
      </c>
      <c r="H4" s="1" t="s">
        <v>8</v>
      </c>
      <c r="I4" s="1" t="s">
        <v>17</v>
      </c>
      <c r="J4" s="1" t="s">
        <v>21</v>
      </c>
      <c r="K4" s="1" t="s">
        <v>194</v>
      </c>
      <c r="L4" s="1" t="s">
        <v>126</v>
      </c>
      <c r="M4" s="1" t="s">
        <v>122</v>
      </c>
      <c r="N4" s="1" t="s">
        <v>11</v>
      </c>
      <c r="O4" s="1" t="s">
        <v>197</v>
      </c>
      <c r="P4" s="1" t="s">
        <v>18</v>
      </c>
      <c r="Q4" s="1">
        <v>2706</v>
      </c>
      <c r="R4" s="6">
        <v>2</v>
      </c>
    </row>
    <row r="5" spans="1:18" ht="43.2" x14ac:dyDescent="0.3">
      <c r="A5" s="1">
        <v>1004</v>
      </c>
      <c r="B5" s="1" t="s">
        <v>19</v>
      </c>
      <c r="C5" s="1" t="s">
        <v>138</v>
      </c>
      <c r="D5" s="1" t="s">
        <v>139</v>
      </c>
      <c r="E5" s="6">
        <v>-23.967500000000001</v>
      </c>
      <c r="F5" s="6">
        <v>-46.334299999999999</v>
      </c>
      <c r="G5" s="1" t="s">
        <v>7</v>
      </c>
      <c r="H5" s="1" t="s">
        <v>8</v>
      </c>
      <c r="I5" s="1" t="s">
        <v>20</v>
      </c>
      <c r="J5" s="1" t="s">
        <v>10</v>
      </c>
      <c r="K5" s="1" t="s">
        <v>198</v>
      </c>
      <c r="L5" s="1" t="s">
        <v>126</v>
      </c>
      <c r="M5" s="1" t="s">
        <v>122</v>
      </c>
      <c r="N5" s="1" t="s">
        <v>22</v>
      </c>
      <c r="O5" s="1" t="s">
        <v>196</v>
      </c>
      <c r="P5" s="1" t="s">
        <v>23</v>
      </c>
      <c r="Q5" s="1">
        <v>6257</v>
      </c>
      <c r="R5" s="6">
        <v>32</v>
      </c>
    </row>
    <row r="6" spans="1:18" ht="72" x14ac:dyDescent="0.3">
      <c r="A6" s="1">
        <v>1005</v>
      </c>
      <c r="B6" s="1" t="s">
        <v>24</v>
      </c>
      <c r="C6" s="1" t="s">
        <v>140</v>
      </c>
      <c r="D6" s="1" t="s">
        <v>141</v>
      </c>
      <c r="E6" s="6">
        <v>-21.177499999999998</v>
      </c>
      <c r="F6" s="6">
        <v>-47.820799999999998</v>
      </c>
      <c r="G6" s="1" t="s">
        <v>7</v>
      </c>
      <c r="H6" s="1" t="s">
        <v>8</v>
      </c>
      <c r="I6" s="1" t="s">
        <v>25</v>
      </c>
      <c r="J6" s="1" t="s">
        <v>10</v>
      </c>
      <c r="K6" s="1" t="s">
        <v>194</v>
      </c>
      <c r="L6" s="1" t="s">
        <v>126</v>
      </c>
      <c r="M6" s="1" t="s">
        <v>121</v>
      </c>
      <c r="N6" s="1" t="s">
        <v>14</v>
      </c>
      <c r="O6" s="1" t="s">
        <v>199</v>
      </c>
      <c r="P6" s="1" t="s">
        <v>26</v>
      </c>
      <c r="Q6" s="1">
        <v>4251</v>
      </c>
      <c r="R6" s="6">
        <v>5</v>
      </c>
    </row>
    <row r="7" spans="1:18" ht="72" x14ac:dyDescent="0.3">
      <c r="A7" s="1">
        <v>1006</v>
      </c>
      <c r="B7" s="1" t="s">
        <v>27</v>
      </c>
      <c r="C7" s="1" t="s">
        <v>142</v>
      </c>
      <c r="D7" s="1" t="s">
        <v>143</v>
      </c>
      <c r="E7" s="6">
        <v>-23.691400000000002</v>
      </c>
      <c r="F7" s="6">
        <v>-46.564599999999999</v>
      </c>
      <c r="G7" s="1" t="s">
        <v>7</v>
      </c>
      <c r="H7" s="1" t="s">
        <v>8</v>
      </c>
      <c r="I7" s="1" t="s">
        <v>28</v>
      </c>
      <c r="J7" s="1" t="s">
        <v>10</v>
      </c>
      <c r="K7" s="1" t="s">
        <v>194</v>
      </c>
      <c r="L7" s="1" t="s">
        <v>126</v>
      </c>
      <c r="M7" s="1" t="s">
        <v>121</v>
      </c>
      <c r="N7" s="1" t="s">
        <v>11</v>
      </c>
      <c r="O7" s="1" t="s">
        <v>199</v>
      </c>
      <c r="P7" s="1" t="s">
        <v>29</v>
      </c>
      <c r="Q7" s="1">
        <v>4520</v>
      </c>
      <c r="R7" s="6">
        <v>16</v>
      </c>
    </row>
    <row r="8" spans="1:18" ht="57.6" x14ac:dyDescent="0.3">
      <c r="A8" s="1">
        <v>2001</v>
      </c>
      <c r="B8" s="1" t="s">
        <v>30</v>
      </c>
      <c r="C8" s="1" t="s">
        <v>144</v>
      </c>
      <c r="D8" s="1" t="s">
        <v>145</v>
      </c>
      <c r="E8" s="6">
        <v>-19.938600000000001</v>
      </c>
      <c r="F8" s="6">
        <v>-43.933399999999999</v>
      </c>
      <c r="G8" s="1" t="s">
        <v>7</v>
      </c>
      <c r="H8" s="1" t="s">
        <v>31</v>
      </c>
      <c r="I8" s="1" t="s">
        <v>32</v>
      </c>
      <c r="J8" s="1" t="s">
        <v>21</v>
      </c>
      <c r="K8" s="1" t="s">
        <v>194</v>
      </c>
      <c r="L8" s="1" t="s">
        <v>126</v>
      </c>
      <c r="M8" s="1" t="s">
        <v>121</v>
      </c>
      <c r="N8" s="1" t="s">
        <v>14</v>
      </c>
      <c r="O8" s="1" t="s">
        <v>196</v>
      </c>
      <c r="P8" s="1" t="s">
        <v>33</v>
      </c>
      <c r="Q8" s="1">
        <v>2244</v>
      </c>
      <c r="R8" s="6">
        <v>40</v>
      </c>
    </row>
    <row r="9" spans="1:18" ht="43.2" x14ac:dyDescent="0.3">
      <c r="A9" s="1">
        <v>2002</v>
      </c>
      <c r="B9" s="1" t="s">
        <v>34</v>
      </c>
      <c r="C9" s="1" t="s">
        <v>146</v>
      </c>
      <c r="D9" s="1" t="s">
        <v>147</v>
      </c>
      <c r="E9" s="6">
        <v>-18.9145</v>
      </c>
      <c r="F9" s="6">
        <v>-48.275399999999998</v>
      </c>
      <c r="G9" s="1" t="s">
        <v>7</v>
      </c>
      <c r="H9" s="1" t="s">
        <v>31</v>
      </c>
      <c r="I9" s="1" t="s">
        <v>35</v>
      </c>
      <c r="J9" s="1" t="s">
        <v>10</v>
      </c>
      <c r="K9" s="1" t="s">
        <v>194</v>
      </c>
      <c r="L9" s="1" t="s">
        <v>126</v>
      </c>
      <c r="M9" s="1" t="s">
        <v>121</v>
      </c>
      <c r="N9" s="1" t="s">
        <v>11</v>
      </c>
      <c r="O9" s="1" t="s">
        <v>199</v>
      </c>
      <c r="P9" s="1" t="s">
        <v>36</v>
      </c>
      <c r="Q9" s="1">
        <v>3384</v>
      </c>
      <c r="R9" s="6">
        <v>40</v>
      </c>
    </row>
    <row r="10" spans="1:18" ht="43.2" x14ac:dyDescent="0.3">
      <c r="A10" s="1">
        <v>2003</v>
      </c>
      <c r="B10" s="1" t="s">
        <v>37</v>
      </c>
      <c r="C10" s="1" t="s">
        <v>148</v>
      </c>
      <c r="D10" s="1" t="s">
        <v>149</v>
      </c>
      <c r="E10" s="6">
        <v>-19.938099999999999</v>
      </c>
      <c r="F10" s="6">
        <v>-44.0366</v>
      </c>
      <c r="G10" s="1" t="s">
        <v>7</v>
      </c>
      <c r="H10" s="1" t="s">
        <v>31</v>
      </c>
      <c r="I10" s="1" t="s">
        <v>38</v>
      </c>
      <c r="J10" s="1" t="s">
        <v>10</v>
      </c>
      <c r="K10" s="1" t="s">
        <v>198</v>
      </c>
      <c r="L10" s="1" t="s">
        <v>126</v>
      </c>
      <c r="M10" s="1" t="s">
        <v>121</v>
      </c>
      <c r="N10" s="1" t="s">
        <v>22</v>
      </c>
      <c r="O10" s="1" t="s">
        <v>200</v>
      </c>
      <c r="P10" s="1" t="s">
        <v>39</v>
      </c>
      <c r="Q10" s="1">
        <v>7564</v>
      </c>
      <c r="R10" s="6">
        <v>29</v>
      </c>
    </row>
    <row r="11" spans="1:18" ht="43.2" x14ac:dyDescent="0.3">
      <c r="A11" s="1">
        <v>3001</v>
      </c>
      <c r="B11" s="1" t="s">
        <v>40</v>
      </c>
      <c r="C11" s="1" t="s">
        <v>150</v>
      </c>
      <c r="D11" s="1" t="s">
        <v>151</v>
      </c>
      <c r="E11" s="6">
        <v>-9.9747000000000003</v>
      </c>
      <c r="F11" s="6">
        <v>-67.8249</v>
      </c>
      <c r="G11" s="1" t="s">
        <v>41</v>
      </c>
      <c r="H11" s="1" t="s">
        <v>42</v>
      </c>
      <c r="I11" s="1" t="s">
        <v>43</v>
      </c>
      <c r="J11" s="1" t="s">
        <v>201</v>
      </c>
      <c r="K11" s="1" t="s">
        <v>194</v>
      </c>
      <c r="L11" s="1" t="s">
        <v>126</v>
      </c>
      <c r="M11" s="1" t="s">
        <v>122</v>
      </c>
      <c r="N11" s="1" t="s">
        <v>22</v>
      </c>
      <c r="O11" s="1" t="s">
        <v>196</v>
      </c>
      <c r="P11" s="1" t="s">
        <v>44</v>
      </c>
      <c r="Q11" s="1">
        <v>2589</v>
      </c>
      <c r="R11" s="6">
        <v>25</v>
      </c>
    </row>
    <row r="12" spans="1:18" ht="57.6" x14ac:dyDescent="0.3">
      <c r="A12" s="1">
        <v>3002</v>
      </c>
      <c r="B12" s="1" t="s">
        <v>45</v>
      </c>
      <c r="C12" s="1" t="s">
        <v>152</v>
      </c>
      <c r="D12" s="1" t="s">
        <v>153</v>
      </c>
      <c r="E12" s="6">
        <v>-3.0916000000000001</v>
      </c>
      <c r="F12" s="6">
        <v>-60.0261</v>
      </c>
      <c r="G12" s="1" t="s">
        <v>41</v>
      </c>
      <c r="H12" s="1" t="s">
        <v>46</v>
      </c>
      <c r="I12" s="1" t="s">
        <v>47</v>
      </c>
      <c r="J12" s="1" t="s">
        <v>10</v>
      </c>
      <c r="K12" s="1" t="s">
        <v>198</v>
      </c>
      <c r="L12" s="1" t="s">
        <v>126</v>
      </c>
      <c r="M12" s="1" t="s">
        <v>122</v>
      </c>
      <c r="N12" s="1" t="s">
        <v>11</v>
      </c>
      <c r="O12" s="1" t="s">
        <v>196</v>
      </c>
      <c r="P12" s="1" t="s">
        <v>48</v>
      </c>
      <c r="Q12" s="1">
        <v>8747</v>
      </c>
      <c r="R12" s="6">
        <v>33</v>
      </c>
    </row>
    <row r="13" spans="1:18" ht="57.6" x14ac:dyDescent="0.3">
      <c r="A13" s="1">
        <v>3003</v>
      </c>
      <c r="B13" s="1" t="s">
        <v>49</v>
      </c>
      <c r="C13" s="1" t="s">
        <v>154</v>
      </c>
      <c r="D13" s="1" t="s">
        <v>155</v>
      </c>
      <c r="E13" s="6">
        <v>-3.0945</v>
      </c>
      <c r="F13" s="6">
        <v>-60.024999999999999</v>
      </c>
      <c r="G13" s="1" t="s">
        <v>41</v>
      </c>
      <c r="H13" s="1" t="s">
        <v>46</v>
      </c>
      <c r="I13" s="1" t="s">
        <v>47</v>
      </c>
      <c r="J13" s="1" t="s">
        <v>21</v>
      </c>
      <c r="K13" s="1" t="s">
        <v>194</v>
      </c>
      <c r="L13" s="1" t="s">
        <v>126</v>
      </c>
      <c r="M13" s="1" t="s">
        <v>121</v>
      </c>
      <c r="N13" s="1" t="s">
        <v>14</v>
      </c>
      <c r="O13" s="1" t="s">
        <v>196</v>
      </c>
      <c r="P13" s="1" t="s">
        <v>50</v>
      </c>
      <c r="Q13" s="1">
        <v>6162</v>
      </c>
      <c r="R13" s="6">
        <v>21</v>
      </c>
    </row>
    <row r="14" spans="1:18" ht="43.2" x14ac:dyDescent="0.3">
      <c r="A14" s="1">
        <v>4001</v>
      </c>
      <c r="B14" s="1" t="s">
        <v>51</v>
      </c>
      <c r="C14" s="1" t="s">
        <v>156</v>
      </c>
      <c r="D14" s="1" t="s">
        <v>157</v>
      </c>
      <c r="E14" s="6">
        <v>-12.9748</v>
      </c>
      <c r="F14" s="6">
        <v>-38.5124</v>
      </c>
      <c r="G14" s="1" t="s">
        <v>52</v>
      </c>
      <c r="H14" s="1" t="s">
        <v>53</v>
      </c>
      <c r="I14" s="1" t="s">
        <v>54</v>
      </c>
      <c r="J14" s="1" t="s">
        <v>201</v>
      </c>
      <c r="K14" s="1" t="s">
        <v>194</v>
      </c>
      <c r="L14" s="1" t="s">
        <v>126</v>
      </c>
      <c r="M14" s="1" t="s">
        <v>121</v>
      </c>
      <c r="N14" s="1" t="s">
        <v>11</v>
      </c>
      <c r="O14" s="1" t="s">
        <v>196</v>
      </c>
      <c r="P14" s="1" t="s">
        <v>55</v>
      </c>
      <c r="Q14" s="1">
        <v>8843</v>
      </c>
      <c r="R14" s="6">
        <v>22</v>
      </c>
    </row>
    <row r="15" spans="1:18" ht="43.2" x14ac:dyDescent="0.3">
      <c r="A15" s="1">
        <v>4002</v>
      </c>
      <c r="B15" s="1" t="s">
        <v>56</v>
      </c>
      <c r="C15" s="1" t="s">
        <v>158</v>
      </c>
      <c r="D15" s="1" t="s">
        <v>159</v>
      </c>
      <c r="E15" s="6">
        <v>-3.7319</v>
      </c>
      <c r="F15" s="6">
        <v>-38.499299999999998</v>
      </c>
      <c r="G15" s="1" t="s">
        <v>52</v>
      </c>
      <c r="H15" s="1" t="s">
        <v>57</v>
      </c>
      <c r="I15" s="1" t="s">
        <v>58</v>
      </c>
      <c r="J15" s="1" t="s">
        <v>21</v>
      </c>
      <c r="K15" s="1" t="s">
        <v>194</v>
      </c>
      <c r="L15" s="1" t="s">
        <v>126</v>
      </c>
      <c r="M15" s="1" t="s">
        <v>122</v>
      </c>
      <c r="N15" s="1" t="s">
        <v>14</v>
      </c>
      <c r="O15" s="1" t="s">
        <v>196</v>
      </c>
      <c r="P15" s="1" t="s">
        <v>59</v>
      </c>
      <c r="Q15" s="1">
        <v>5526</v>
      </c>
      <c r="R15" s="6">
        <v>32</v>
      </c>
    </row>
    <row r="16" spans="1:18" ht="57.6" x14ac:dyDescent="0.3">
      <c r="A16" s="1">
        <v>4003</v>
      </c>
      <c r="B16" s="1" t="s">
        <v>60</v>
      </c>
      <c r="C16" s="1" t="s">
        <v>160</v>
      </c>
      <c r="D16" s="1" t="s">
        <v>161</v>
      </c>
      <c r="E16" s="6">
        <v>-8.1227</v>
      </c>
      <c r="F16" s="6">
        <v>-34.9026</v>
      </c>
      <c r="G16" s="1" t="s">
        <v>52</v>
      </c>
      <c r="H16" s="1" t="s">
        <v>61</v>
      </c>
      <c r="I16" s="1" t="s">
        <v>62</v>
      </c>
      <c r="J16" s="1" t="s">
        <v>201</v>
      </c>
      <c r="K16" s="1" t="s">
        <v>194</v>
      </c>
      <c r="L16" s="1" t="s">
        <v>126</v>
      </c>
      <c r="M16" s="1" t="s">
        <v>121</v>
      </c>
      <c r="N16" s="1" t="s">
        <v>11</v>
      </c>
      <c r="O16" s="1" t="s">
        <v>202</v>
      </c>
      <c r="P16" s="1" t="s">
        <v>63</v>
      </c>
      <c r="Q16" s="1">
        <v>5949</v>
      </c>
      <c r="R16" s="6">
        <v>18</v>
      </c>
    </row>
    <row r="17" spans="1:18" ht="57.6" x14ac:dyDescent="0.3">
      <c r="A17" s="1">
        <v>4004</v>
      </c>
      <c r="B17" s="1" t="s">
        <v>64</v>
      </c>
      <c r="C17" s="1" t="s">
        <v>162</v>
      </c>
      <c r="D17" s="1" t="s">
        <v>163</v>
      </c>
      <c r="E17" s="6">
        <v>-5.8403999999999998</v>
      </c>
      <c r="F17" s="6">
        <v>-35.206499999999998</v>
      </c>
      <c r="G17" s="1" t="s">
        <v>52</v>
      </c>
      <c r="H17" s="1" t="s">
        <v>65</v>
      </c>
      <c r="I17" s="1" t="s">
        <v>66</v>
      </c>
      <c r="J17" s="1" t="s">
        <v>10</v>
      </c>
      <c r="K17" s="1" t="s">
        <v>198</v>
      </c>
      <c r="L17" s="1" t="s">
        <v>126</v>
      </c>
      <c r="M17" s="1" t="s">
        <v>122</v>
      </c>
      <c r="N17" s="1" t="s">
        <v>22</v>
      </c>
      <c r="O17" s="1" t="s">
        <v>196</v>
      </c>
      <c r="P17" s="1" t="s">
        <v>67</v>
      </c>
      <c r="Q17" s="1">
        <v>2470</v>
      </c>
      <c r="R17" s="6">
        <v>10</v>
      </c>
    </row>
    <row r="18" spans="1:18" ht="28.8" x14ac:dyDescent="0.3">
      <c r="A18" s="1">
        <v>5001</v>
      </c>
      <c r="B18" s="1" t="s">
        <v>68</v>
      </c>
      <c r="C18" s="1" t="s">
        <v>164</v>
      </c>
      <c r="D18" s="1" t="s">
        <v>165</v>
      </c>
      <c r="E18" s="6">
        <v>-25.4405</v>
      </c>
      <c r="F18" s="6">
        <v>-49.292299999999997</v>
      </c>
      <c r="G18" s="1" t="s">
        <v>69</v>
      </c>
      <c r="H18" s="1" t="s">
        <v>70</v>
      </c>
      <c r="I18" s="1" t="s">
        <v>71</v>
      </c>
      <c r="J18" s="1" t="s">
        <v>201</v>
      </c>
      <c r="K18" s="1" t="s">
        <v>198</v>
      </c>
      <c r="L18" s="1" t="s">
        <v>126</v>
      </c>
      <c r="M18" s="1" t="s">
        <v>121</v>
      </c>
      <c r="N18" s="1" t="s">
        <v>14</v>
      </c>
      <c r="O18" s="1" t="s">
        <v>196</v>
      </c>
      <c r="P18" s="1" t="s">
        <v>72</v>
      </c>
      <c r="Q18" s="1">
        <v>9146</v>
      </c>
      <c r="R18" s="6">
        <v>29</v>
      </c>
    </row>
    <row r="19" spans="1:18" ht="43.2" x14ac:dyDescent="0.3">
      <c r="A19" s="1">
        <v>5002</v>
      </c>
      <c r="B19" s="1" t="s">
        <v>73</v>
      </c>
      <c r="C19" s="1" t="s">
        <v>166</v>
      </c>
      <c r="D19" s="1" t="s">
        <v>167</v>
      </c>
      <c r="E19" s="6">
        <v>-23.304400000000001</v>
      </c>
      <c r="F19" s="6">
        <v>-51.1691</v>
      </c>
      <c r="G19" s="1" t="s">
        <v>69</v>
      </c>
      <c r="H19" s="1" t="s">
        <v>70</v>
      </c>
      <c r="I19" s="1" t="s">
        <v>74</v>
      </c>
      <c r="J19" s="1" t="s">
        <v>10</v>
      </c>
      <c r="K19" s="1" t="s">
        <v>198</v>
      </c>
      <c r="L19" s="1" t="s">
        <v>126</v>
      </c>
      <c r="M19" s="1" t="s">
        <v>121</v>
      </c>
      <c r="N19" s="1" t="s">
        <v>11</v>
      </c>
      <c r="O19" s="1" t="s">
        <v>200</v>
      </c>
      <c r="P19" s="1" t="s">
        <v>75</v>
      </c>
      <c r="Q19" s="1">
        <v>8407</v>
      </c>
      <c r="R19" s="6">
        <v>32</v>
      </c>
    </row>
    <row r="20" spans="1:18" ht="57.6" x14ac:dyDescent="0.3">
      <c r="A20" s="1">
        <v>5003</v>
      </c>
      <c r="B20" s="1" t="s">
        <v>76</v>
      </c>
      <c r="C20" s="1" t="s">
        <v>168</v>
      </c>
      <c r="D20" s="1" t="s">
        <v>169</v>
      </c>
      <c r="E20" s="6">
        <v>-27.594899999999999</v>
      </c>
      <c r="F20" s="6">
        <v>-48.548200000000001</v>
      </c>
      <c r="G20" s="1" t="s">
        <v>69</v>
      </c>
      <c r="H20" s="1" t="s">
        <v>77</v>
      </c>
      <c r="I20" s="1" t="s">
        <v>78</v>
      </c>
      <c r="J20" s="1" t="s">
        <v>201</v>
      </c>
      <c r="K20" s="1" t="s">
        <v>198</v>
      </c>
      <c r="L20" s="1" t="s">
        <v>126</v>
      </c>
      <c r="M20" s="1" t="s">
        <v>122</v>
      </c>
      <c r="N20" s="1" t="s">
        <v>11</v>
      </c>
      <c r="O20" s="1" t="s">
        <v>196</v>
      </c>
      <c r="P20" s="1" t="s">
        <v>79</v>
      </c>
      <c r="Q20" s="1">
        <v>1675</v>
      </c>
      <c r="R20" s="6">
        <v>18</v>
      </c>
    </row>
    <row r="21" spans="1:18" ht="43.2" x14ac:dyDescent="0.3">
      <c r="A21" s="1">
        <v>5004</v>
      </c>
      <c r="B21" s="1" t="s">
        <v>80</v>
      </c>
      <c r="C21" s="1" t="s">
        <v>170</v>
      </c>
      <c r="D21" s="1" t="s">
        <v>171</v>
      </c>
      <c r="E21" s="6">
        <v>-26.304400000000001</v>
      </c>
      <c r="F21" s="6">
        <v>-48.8461</v>
      </c>
      <c r="G21" s="1" t="s">
        <v>69</v>
      </c>
      <c r="H21" s="1" t="s">
        <v>77</v>
      </c>
      <c r="I21" s="1" t="s">
        <v>81</v>
      </c>
      <c r="J21" s="1" t="s">
        <v>201</v>
      </c>
      <c r="K21" s="1" t="s">
        <v>198</v>
      </c>
      <c r="L21" s="1" t="s">
        <v>126</v>
      </c>
      <c r="M21" s="1" t="s">
        <v>121</v>
      </c>
      <c r="N21" s="1" t="s">
        <v>22</v>
      </c>
      <c r="O21" s="1" t="s">
        <v>196</v>
      </c>
      <c r="P21" s="1" t="s">
        <v>82</v>
      </c>
      <c r="Q21" s="1">
        <v>8970</v>
      </c>
      <c r="R21" s="6">
        <v>18</v>
      </c>
    </row>
    <row r="22" spans="1:18" ht="57.6" x14ac:dyDescent="0.3">
      <c r="A22" s="1">
        <v>6001</v>
      </c>
      <c r="B22" s="1" t="s">
        <v>83</v>
      </c>
      <c r="C22" s="1" t="s">
        <v>172</v>
      </c>
      <c r="D22" s="1" t="s">
        <v>173</v>
      </c>
      <c r="E22" s="6">
        <v>-16.6799</v>
      </c>
      <c r="F22" s="6">
        <v>-49.255000000000003</v>
      </c>
      <c r="G22" s="1" t="s">
        <v>84</v>
      </c>
      <c r="H22" s="1" t="s">
        <v>85</v>
      </c>
      <c r="I22" s="1" t="s">
        <v>86</v>
      </c>
      <c r="J22" s="1" t="s">
        <v>201</v>
      </c>
      <c r="K22" s="1" t="s">
        <v>198</v>
      </c>
      <c r="L22" s="1" t="s">
        <v>126</v>
      </c>
      <c r="M22" s="1" t="s">
        <v>121</v>
      </c>
      <c r="N22" s="1" t="s">
        <v>11</v>
      </c>
      <c r="O22" s="1" t="s">
        <v>199</v>
      </c>
      <c r="P22" s="1" t="s">
        <v>87</v>
      </c>
      <c r="Q22" s="1">
        <v>6572</v>
      </c>
      <c r="R22" s="6">
        <v>18</v>
      </c>
    </row>
    <row r="23" spans="1:18" ht="43.2" x14ac:dyDescent="0.3">
      <c r="A23" s="1">
        <v>6002</v>
      </c>
      <c r="B23" s="1" t="s">
        <v>88</v>
      </c>
      <c r="C23" s="1" t="s">
        <v>174</v>
      </c>
      <c r="D23" s="1" t="s">
        <v>175</v>
      </c>
      <c r="E23" s="6">
        <v>-20.4697</v>
      </c>
      <c r="F23" s="6">
        <v>-54.620100000000001</v>
      </c>
      <c r="G23" s="1" t="s">
        <v>84</v>
      </c>
      <c r="H23" s="1" t="s">
        <v>89</v>
      </c>
      <c r="I23" s="1" t="s">
        <v>90</v>
      </c>
      <c r="J23" s="1" t="s">
        <v>201</v>
      </c>
      <c r="K23" s="1" t="s">
        <v>194</v>
      </c>
      <c r="L23" s="1" t="s">
        <v>126</v>
      </c>
      <c r="M23" s="1" t="s">
        <v>121</v>
      </c>
      <c r="N23" s="1" t="s">
        <v>22</v>
      </c>
      <c r="O23" s="1" t="s">
        <v>195</v>
      </c>
      <c r="P23" s="1" t="s">
        <v>91</v>
      </c>
      <c r="Q23" s="1">
        <v>3514</v>
      </c>
      <c r="R23" s="6">
        <v>4</v>
      </c>
    </row>
    <row r="24" spans="1:18" ht="72" x14ac:dyDescent="0.3">
      <c r="A24" s="1">
        <v>6003</v>
      </c>
      <c r="B24" s="1" t="s">
        <v>92</v>
      </c>
      <c r="C24" s="1" t="s">
        <v>176</v>
      </c>
      <c r="D24" s="1" t="s">
        <v>177</v>
      </c>
      <c r="E24" s="6">
        <v>-15.569599999999999</v>
      </c>
      <c r="F24" s="6">
        <v>-56.073500000000003</v>
      </c>
      <c r="G24" s="1" t="s">
        <v>84</v>
      </c>
      <c r="H24" s="1" t="s">
        <v>93</v>
      </c>
      <c r="I24" s="1" t="s">
        <v>94</v>
      </c>
      <c r="J24" s="1" t="s">
        <v>21</v>
      </c>
      <c r="K24" s="1" t="s">
        <v>198</v>
      </c>
      <c r="L24" s="1" t="s">
        <v>126</v>
      </c>
      <c r="M24" s="1" t="s">
        <v>122</v>
      </c>
      <c r="N24" s="1" t="s">
        <v>14</v>
      </c>
      <c r="O24" s="1" t="s">
        <v>195</v>
      </c>
      <c r="P24" s="1" t="s">
        <v>95</v>
      </c>
      <c r="Q24" s="1">
        <v>4311</v>
      </c>
      <c r="R24" s="6">
        <v>20</v>
      </c>
    </row>
    <row r="25" spans="1:18" ht="43.2" x14ac:dyDescent="0.3">
      <c r="A25" s="1">
        <v>6004</v>
      </c>
      <c r="B25" s="1" t="s">
        <v>96</v>
      </c>
      <c r="C25" s="1" t="s">
        <v>178</v>
      </c>
      <c r="D25" s="1" t="s">
        <v>179</v>
      </c>
      <c r="E25" s="6">
        <v>-15.815</v>
      </c>
      <c r="F25" s="6">
        <v>-47.897599999999997</v>
      </c>
      <c r="G25" s="1" t="s">
        <v>84</v>
      </c>
      <c r="H25" s="1" t="s">
        <v>97</v>
      </c>
      <c r="I25" s="1" t="s">
        <v>98</v>
      </c>
      <c r="J25" s="1" t="s">
        <v>21</v>
      </c>
      <c r="K25" s="1" t="s">
        <v>194</v>
      </c>
      <c r="L25" s="1" t="s">
        <v>126</v>
      </c>
      <c r="M25" s="1" t="s">
        <v>121</v>
      </c>
      <c r="N25" s="1" t="s">
        <v>14</v>
      </c>
      <c r="O25" s="1" t="s">
        <v>202</v>
      </c>
      <c r="P25" s="1" t="s">
        <v>99</v>
      </c>
      <c r="Q25" s="1">
        <v>3851</v>
      </c>
      <c r="R25" s="6">
        <v>33</v>
      </c>
    </row>
    <row r="26" spans="1:18" ht="57.6" x14ac:dyDescent="0.3">
      <c r="A26" s="1">
        <v>7001</v>
      </c>
      <c r="B26" s="1" t="s">
        <v>100</v>
      </c>
      <c r="C26" s="1" t="s">
        <v>180</v>
      </c>
      <c r="D26" s="1" t="s">
        <v>181</v>
      </c>
      <c r="E26" s="6">
        <v>-22.8964</v>
      </c>
      <c r="F26" s="6">
        <v>-43.124600000000001</v>
      </c>
      <c r="G26" s="1" t="s">
        <v>7</v>
      </c>
      <c r="H26" s="1" t="s">
        <v>101</v>
      </c>
      <c r="I26" s="1" t="s">
        <v>102</v>
      </c>
      <c r="J26" s="1" t="s">
        <v>21</v>
      </c>
      <c r="K26" s="1" t="s">
        <v>194</v>
      </c>
      <c r="L26" s="1" t="s">
        <v>126</v>
      </c>
      <c r="M26" s="1" t="s">
        <v>121</v>
      </c>
      <c r="N26" s="1" t="s">
        <v>11</v>
      </c>
      <c r="O26" s="1" t="s">
        <v>199</v>
      </c>
      <c r="P26" s="1" t="s">
        <v>103</v>
      </c>
      <c r="Q26" s="1">
        <v>526</v>
      </c>
      <c r="R26" s="6">
        <v>9</v>
      </c>
    </row>
    <row r="27" spans="1:18" ht="43.2" x14ac:dyDescent="0.3">
      <c r="A27" s="1">
        <v>7002</v>
      </c>
      <c r="B27" s="1" t="s">
        <v>104</v>
      </c>
      <c r="C27" s="1" t="s">
        <v>182</v>
      </c>
      <c r="D27" s="1" t="s">
        <v>183</v>
      </c>
      <c r="E27" s="6">
        <v>-22.903500000000001</v>
      </c>
      <c r="F27" s="6">
        <v>-43.1768</v>
      </c>
      <c r="G27" s="1" t="s">
        <v>7</v>
      </c>
      <c r="H27" s="1" t="s">
        <v>101</v>
      </c>
      <c r="I27" s="1" t="s">
        <v>105</v>
      </c>
      <c r="J27" s="1" t="s">
        <v>21</v>
      </c>
      <c r="K27" s="1" t="s">
        <v>198</v>
      </c>
      <c r="L27" s="1" t="s">
        <v>126</v>
      </c>
      <c r="M27" s="1" t="s">
        <v>122</v>
      </c>
      <c r="N27" s="1" t="s">
        <v>11</v>
      </c>
      <c r="O27" s="1" t="s">
        <v>199</v>
      </c>
      <c r="P27" s="1" t="s">
        <v>106</v>
      </c>
      <c r="Q27" s="1">
        <v>9245</v>
      </c>
      <c r="R27" s="6">
        <v>20</v>
      </c>
    </row>
    <row r="28" spans="1:18" ht="72" x14ac:dyDescent="0.3">
      <c r="A28" s="1">
        <v>7003</v>
      </c>
      <c r="B28" s="1" t="s">
        <v>107</v>
      </c>
      <c r="C28" s="1" t="s">
        <v>184</v>
      </c>
      <c r="D28" s="1" t="s">
        <v>185</v>
      </c>
      <c r="E28" s="6">
        <v>-23.001100000000001</v>
      </c>
      <c r="F28" s="6">
        <v>-43.365400000000001</v>
      </c>
      <c r="G28" s="1" t="s">
        <v>7</v>
      </c>
      <c r="H28" s="1" t="s">
        <v>101</v>
      </c>
      <c r="I28" s="1" t="s">
        <v>105</v>
      </c>
      <c r="J28" s="1" t="s">
        <v>201</v>
      </c>
      <c r="K28" s="1" t="s">
        <v>198</v>
      </c>
      <c r="L28" s="1" t="s">
        <v>126</v>
      </c>
      <c r="M28" s="1" t="s">
        <v>122</v>
      </c>
      <c r="N28" s="1" t="s">
        <v>14</v>
      </c>
      <c r="O28" s="1" t="s">
        <v>195</v>
      </c>
      <c r="P28" s="1" t="s">
        <v>108</v>
      </c>
      <c r="Q28" s="1">
        <v>8592</v>
      </c>
      <c r="R28" s="6">
        <v>13</v>
      </c>
    </row>
    <row r="29" spans="1:18" ht="43.2" x14ac:dyDescent="0.3">
      <c r="A29" s="1">
        <v>7004</v>
      </c>
      <c r="B29" s="1" t="s">
        <v>109</v>
      </c>
      <c r="C29" s="1" t="s">
        <v>186</v>
      </c>
      <c r="D29" s="1" t="s">
        <v>187</v>
      </c>
      <c r="E29" s="6">
        <v>-22.523399999999999</v>
      </c>
      <c r="F29" s="6">
        <v>-44.104900000000001</v>
      </c>
      <c r="G29" s="1" t="s">
        <v>7</v>
      </c>
      <c r="H29" s="1" t="s">
        <v>101</v>
      </c>
      <c r="I29" s="1" t="s">
        <v>110</v>
      </c>
      <c r="J29" s="1" t="s">
        <v>201</v>
      </c>
      <c r="K29" s="1" t="s">
        <v>198</v>
      </c>
      <c r="L29" s="1" t="s">
        <v>126</v>
      </c>
      <c r="M29" s="1" t="s">
        <v>121</v>
      </c>
      <c r="N29" s="1" t="s">
        <v>22</v>
      </c>
      <c r="O29" s="1" t="s">
        <v>200</v>
      </c>
      <c r="P29" s="1" t="s">
        <v>111</v>
      </c>
      <c r="Q29" s="1">
        <v>1146</v>
      </c>
      <c r="R29" s="6">
        <v>11</v>
      </c>
    </row>
    <row r="30" spans="1:18" ht="43.2" x14ac:dyDescent="0.3">
      <c r="A30" s="1">
        <v>8001</v>
      </c>
      <c r="B30" s="1" t="s">
        <v>112</v>
      </c>
      <c r="C30" s="1" t="s">
        <v>188</v>
      </c>
      <c r="D30" s="1" t="s">
        <v>189</v>
      </c>
      <c r="E30" s="6">
        <v>-2.5297000000000001</v>
      </c>
      <c r="F30" s="6">
        <v>-44.302799999999998</v>
      </c>
      <c r="G30" s="1" t="s">
        <v>52</v>
      </c>
      <c r="H30" s="1" t="s">
        <v>113</v>
      </c>
      <c r="I30" s="1" t="s">
        <v>114</v>
      </c>
      <c r="J30" s="1" t="s">
        <v>201</v>
      </c>
      <c r="K30" s="1" t="s">
        <v>194</v>
      </c>
      <c r="L30" s="1" t="s">
        <v>126</v>
      </c>
      <c r="M30" s="1" t="s">
        <v>121</v>
      </c>
      <c r="N30" s="1" t="s">
        <v>11</v>
      </c>
      <c r="O30" s="1" t="s">
        <v>202</v>
      </c>
      <c r="P30" s="1" t="s">
        <v>115</v>
      </c>
      <c r="Q30" s="1">
        <v>5761</v>
      </c>
      <c r="R30" s="6">
        <v>29</v>
      </c>
    </row>
    <row r="31" spans="1:18" ht="43.2" x14ac:dyDescent="0.3">
      <c r="A31" s="1">
        <v>8002</v>
      </c>
      <c r="B31" s="1" t="s">
        <v>116</v>
      </c>
      <c r="C31" s="1" t="s">
        <v>190</v>
      </c>
      <c r="D31" s="1" t="s">
        <v>191</v>
      </c>
      <c r="E31" s="6">
        <v>-5.0826000000000002</v>
      </c>
      <c r="F31" s="6">
        <v>-42.802199999999999</v>
      </c>
      <c r="G31" s="1" t="s">
        <v>52</v>
      </c>
      <c r="H31" s="1" t="s">
        <v>117</v>
      </c>
      <c r="I31" s="1" t="s">
        <v>118</v>
      </c>
      <c r="J31" s="1" t="s">
        <v>201</v>
      </c>
      <c r="K31" s="1" t="s">
        <v>194</v>
      </c>
      <c r="L31" s="1" t="s">
        <v>126</v>
      </c>
      <c r="M31" s="1" t="s">
        <v>122</v>
      </c>
      <c r="N31" s="1" t="s">
        <v>22</v>
      </c>
      <c r="O31" s="1" t="s">
        <v>195</v>
      </c>
      <c r="P31" s="1" t="s">
        <v>119</v>
      </c>
      <c r="Q31" s="1">
        <v>6278</v>
      </c>
      <c r="R31" s="6">
        <v>9</v>
      </c>
    </row>
  </sheetData>
  <autoFilter ref="A1:R3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E2EF-EE1A-4307-AC76-73BBB7BE3543}">
  <dimension ref="A1:K31"/>
  <sheetViews>
    <sheetView topLeftCell="A25" workbookViewId="0">
      <selection activeCell="J2" sqref="J2:K31"/>
    </sheetView>
  </sheetViews>
  <sheetFormatPr defaultRowHeight="14.4" x14ac:dyDescent="0.3"/>
  <sheetData>
    <row r="1" spans="1:11" ht="43.2" x14ac:dyDescent="0.3">
      <c r="A1" s="2" t="s">
        <v>0</v>
      </c>
      <c r="B1" s="2" t="s">
        <v>123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3</v>
      </c>
      <c r="H1" s="2" t="s">
        <v>1</v>
      </c>
      <c r="I1" s="2" t="s">
        <v>2</v>
      </c>
    </row>
    <row r="2" spans="1:11" ht="57.6" x14ac:dyDescent="0.3">
      <c r="A2" s="3">
        <v>1001</v>
      </c>
      <c r="B2" s="3" t="s">
        <v>6</v>
      </c>
      <c r="C2" s="3" t="s">
        <v>132</v>
      </c>
      <c r="D2" s="3" t="s">
        <v>133</v>
      </c>
      <c r="E2" s="4">
        <v>-235439</v>
      </c>
      <c r="F2" s="4">
        <v>-466410</v>
      </c>
      <c r="G2" s="3" t="s">
        <v>7</v>
      </c>
      <c r="H2" s="3" t="s">
        <v>8</v>
      </c>
      <c r="I2" s="3" t="s">
        <v>9</v>
      </c>
      <c r="J2">
        <f>E2/10000</f>
        <v>-23.543900000000001</v>
      </c>
      <c r="K2">
        <f>F2/10000</f>
        <v>-46.640999999999998</v>
      </c>
    </row>
    <row r="3" spans="1:11" ht="72" x14ac:dyDescent="0.3">
      <c r="A3" s="3">
        <v>1002</v>
      </c>
      <c r="B3" s="3" t="s">
        <v>13</v>
      </c>
      <c r="C3" s="3" t="s">
        <v>134</v>
      </c>
      <c r="D3" s="3" t="s">
        <v>135</v>
      </c>
      <c r="E3" s="4">
        <v>-235615</v>
      </c>
      <c r="F3" s="4">
        <v>-466563</v>
      </c>
      <c r="G3" s="3" t="s">
        <v>7</v>
      </c>
      <c r="H3" s="3" t="s">
        <v>8</v>
      </c>
      <c r="I3" s="3" t="s">
        <v>9</v>
      </c>
      <c r="J3">
        <f>E3/10000</f>
        <v>-23.561499999999999</v>
      </c>
      <c r="K3">
        <f t="shared" ref="K3:K31" si="0">F3/10000</f>
        <v>-46.656300000000002</v>
      </c>
    </row>
    <row r="4" spans="1:11" ht="72" x14ac:dyDescent="0.3">
      <c r="A4" s="3">
        <v>1003</v>
      </c>
      <c r="B4" s="3" t="s">
        <v>16</v>
      </c>
      <c r="C4" s="3" t="s">
        <v>136</v>
      </c>
      <c r="D4" s="3" t="s">
        <v>137</v>
      </c>
      <c r="E4" s="4">
        <v>-229056</v>
      </c>
      <c r="F4" s="4">
        <v>-470608</v>
      </c>
      <c r="G4" s="3" t="s">
        <v>7</v>
      </c>
      <c r="H4" s="3" t="s">
        <v>8</v>
      </c>
      <c r="I4" s="3" t="s">
        <v>17</v>
      </c>
      <c r="J4">
        <f t="shared" ref="J4:J31" si="1">E4/10000</f>
        <v>-22.9056</v>
      </c>
      <c r="K4">
        <f t="shared" si="0"/>
        <v>-47.0608</v>
      </c>
    </row>
    <row r="5" spans="1:11" ht="57.6" x14ac:dyDescent="0.3">
      <c r="A5" s="3">
        <v>1004</v>
      </c>
      <c r="B5" s="3" t="s">
        <v>19</v>
      </c>
      <c r="C5" s="3" t="s">
        <v>138</v>
      </c>
      <c r="D5" s="3" t="s">
        <v>139</v>
      </c>
      <c r="E5" s="4">
        <v>-239675</v>
      </c>
      <c r="F5" s="4">
        <v>-463343</v>
      </c>
      <c r="G5" s="3" t="s">
        <v>7</v>
      </c>
      <c r="H5" s="3" t="s">
        <v>8</v>
      </c>
      <c r="I5" s="3" t="s">
        <v>20</v>
      </c>
      <c r="J5">
        <f t="shared" si="1"/>
        <v>-23.967500000000001</v>
      </c>
      <c r="K5">
        <f t="shared" si="0"/>
        <v>-46.334299999999999</v>
      </c>
    </row>
    <row r="6" spans="1:11" ht="72" x14ac:dyDescent="0.3">
      <c r="A6" s="3">
        <v>1005</v>
      </c>
      <c r="B6" s="3" t="s">
        <v>24</v>
      </c>
      <c r="C6" s="3" t="s">
        <v>140</v>
      </c>
      <c r="D6" s="3" t="s">
        <v>141</v>
      </c>
      <c r="E6" s="4">
        <v>-211775</v>
      </c>
      <c r="F6" s="4">
        <v>-478208</v>
      </c>
      <c r="G6" s="3" t="s">
        <v>7</v>
      </c>
      <c r="H6" s="3" t="s">
        <v>8</v>
      </c>
      <c r="I6" s="3" t="s">
        <v>25</v>
      </c>
      <c r="J6">
        <f t="shared" si="1"/>
        <v>-21.177499999999998</v>
      </c>
      <c r="K6">
        <f t="shared" si="0"/>
        <v>-47.820799999999998</v>
      </c>
    </row>
    <row r="7" spans="1:11" ht="72" x14ac:dyDescent="0.3">
      <c r="A7" s="3">
        <v>1006</v>
      </c>
      <c r="B7" s="3" t="s">
        <v>27</v>
      </c>
      <c r="C7" s="3" t="s">
        <v>142</v>
      </c>
      <c r="D7" s="3" t="s">
        <v>143</v>
      </c>
      <c r="E7" s="4">
        <v>-236914</v>
      </c>
      <c r="F7" s="4">
        <v>-465646</v>
      </c>
      <c r="G7" s="3" t="s">
        <v>7</v>
      </c>
      <c r="H7" s="3" t="s">
        <v>8</v>
      </c>
      <c r="I7" s="3" t="s">
        <v>28</v>
      </c>
      <c r="J7">
        <f t="shared" si="1"/>
        <v>-23.691400000000002</v>
      </c>
      <c r="K7">
        <f t="shared" si="0"/>
        <v>-46.564599999999999</v>
      </c>
    </row>
    <row r="8" spans="1:11" ht="57.6" x14ac:dyDescent="0.3">
      <c r="A8" s="3">
        <v>2001</v>
      </c>
      <c r="B8" s="3" t="s">
        <v>30</v>
      </c>
      <c r="C8" s="3" t="s">
        <v>144</v>
      </c>
      <c r="D8" s="3" t="s">
        <v>145</v>
      </c>
      <c r="E8" s="4">
        <v>-199386</v>
      </c>
      <c r="F8" s="4">
        <v>-439334</v>
      </c>
      <c r="G8" s="3" t="s">
        <v>7</v>
      </c>
      <c r="H8" s="3" t="s">
        <v>31</v>
      </c>
      <c r="I8" s="3" t="s">
        <v>32</v>
      </c>
      <c r="J8">
        <f t="shared" si="1"/>
        <v>-19.938600000000001</v>
      </c>
      <c r="K8">
        <f t="shared" si="0"/>
        <v>-43.933399999999999</v>
      </c>
    </row>
    <row r="9" spans="1:11" ht="72" x14ac:dyDescent="0.3">
      <c r="A9" s="3">
        <v>2002</v>
      </c>
      <c r="B9" s="3" t="s">
        <v>34</v>
      </c>
      <c r="C9" s="3" t="s">
        <v>146</v>
      </c>
      <c r="D9" s="3" t="s">
        <v>147</v>
      </c>
      <c r="E9" s="4">
        <v>-189145</v>
      </c>
      <c r="F9" s="4">
        <v>-482754</v>
      </c>
      <c r="G9" s="3" t="s">
        <v>7</v>
      </c>
      <c r="H9" s="3" t="s">
        <v>31</v>
      </c>
      <c r="I9" s="3" t="s">
        <v>35</v>
      </c>
      <c r="J9">
        <f t="shared" si="1"/>
        <v>-18.9145</v>
      </c>
      <c r="K9">
        <f t="shared" si="0"/>
        <v>-48.275399999999998</v>
      </c>
    </row>
    <row r="10" spans="1:11" ht="72" x14ac:dyDescent="0.3">
      <c r="A10" s="3">
        <v>2003</v>
      </c>
      <c r="B10" s="3" t="s">
        <v>37</v>
      </c>
      <c r="C10" s="3" t="s">
        <v>148</v>
      </c>
      <c r="D10" s="3" t="s">
        <v>149</v>
      </c>
      <c r="E10" s="4">
        <v>-199381</v>
      </c>
      <c r="F10" s="4">
        <v>-440366</v>
      </c>
      <c r="G10" s="3" t="s">
        <v>7</v>
      </c>
      <c r="H10" s="3" t="s">
        <v>31</v>
      </c>
      <c r="I10" s="3" t="s">
        <v>38</v>
      </c>
      <c r="J10">
        <f t="shared" si="1"/>
        <v>-19.938099999999999</v>
      </c>
      <c r="K10">
        <f t="shared" si="0"/>
        <v>-44.0366</v>
      </c>
    </row>
    <row r="11" spans="1:11" ht="72" x14ac:dyDescent="0.3">
      <c r="A11" s="3">
        <v>3001</v>
      </c>
      <c r="B11" s="3" t="s">
        <v>40</v>
      </c>
      <c r="C11" s="3" t="s">
        <v>150</v>
      </c>
      <c r="D11" s="3" t="s">
        <v>151</v>
      </c>
      <c r="E11" s="4">
        <v>-99747</v>
      </c>
      <c r="F11" s="4">
        <v>-678249</v>
      </c>
      <c r="G11" s="3" t="s">
        <v>41</v>
      </c>
      <c r="H11" s="3" t="s">
        <v>42</v>
      </c>
      <c r="I11" s="3" t="s">
        <v>43</v>
      </c>
      <c r="J11">
        <f t="shared" si="1"/>
        <v>-9.9747000000000003</v>
      </c>
      <c r="K11">
        <f t="shared" si="0"/>
        <v>-67.8249</v>
      </c>
    </row>
    <row r="12" spans="1:11" ht="86.4" x14ac:dyDescent="0.3">
      <c r="A12" s="3">
        <v>3002</v>
      </c>
      <c r="B12" s="3" t="s">
        <v>45</v>
      </c>
      <c r="C12" s="3" t="s">
        <v>152</v>
      </c>
      <c r="D12" s="3" t="s">
        <v>153</v>
      </c>
      <c r="E12" s="4">
        <v>-30916</v>
      </c>
      <c r="F12" s="4">
        <v>-600261</v>
      </c>
      <c r="G12" s="3" t="s">
        <v>41</v>
      </c>
      <c r="H12" s="3" t="s">
        <v>46</v>
      </c>
      <c r="I12" s="3" t="s">
        <v>47</v>
      </c>
      <c r="J12">
        <f t="shared" si="1"/>
        <v>-3.0916000000000001</v>
      </c>
      <c r="K12">
        <f t="shared" si="0"/>
        <v>-60.0261</v>
      </c>
    </row>
    <row r="13" spans="1:11" ht="72" x14ac:dyDescent="0.3">
      <c r="A13" s="3">
        <v>3003</v>
      </c>
      <c r="B13" s="3" t="s">
        <v>49</v>
      </c>
      <c r="C13" s="3" t="s">
        <v>154</v>
      </c>
      <c r="D13" s="3" t="s">
        <v>155</v>
      </c>
      <c r="E13" s="4">
        <v>-30945</v>
      </c>
      <c r="F13" s="4">
        <v>-600250</v>
      </c>
      <c r="G13" s="3" t="s">
        <v>41</v>
      </c>
      <c r="H13" s="3" t="s">
        <v>46</v>
      </c>
      <c r="I13" s="3" t="s">
        <v>47</v>
      </c>
      <c r="J13">
        <f t="shared" si="1"/>
        <v>-3.0945</v>
      </c>
      <c r="K13">
        <f t="shared" si="0"/>
        <v>-60.024999999999999</v>
      </c>
    </row>
    <row r="14" spans="1:11" ht="57.6" x14ac:dyDescent="0.3">
      <c r="A14" s="3">
        <v>4001</v>
      </c>
      <c r="B14" s="3" t="s">
        <v>51</v>
      </c>
      <c r="C14" s="3" t="s">
        <v>156</v>
      </c>
      <c r="D14" s="3" t="s">
        <v>157</v>
      </c>
      <c r="E14" s="4">
        <v>-129748</v>
      </c>
      <c r="F14" s="4">
        <v>-385124</v>
      </c>
      <c r="G14" s="3" t="s">
        <v>52</v>
      </c>
      <c r="H14" s="3" t="s">
        <v>53</v>
      </c>
      <c r="I14" s="3" t="s">
        <v>54</v>
      </c>
      <c r="J14">
        <f t="shared" si="1"/>
        <v>-12.9748</v>
      </c>
      <c r="K14">
        <f t="shared" si="0"/>
        <v>-38.5124</v>
      </c>
    </row>
    <row r="15" spans="1:11" ht="43.2" x14ac:dyDescent="0.3">
      <c r="A15" s="3">
        <v>4002</v>
      </c>
      <c r="B15" s="3" t="s">
        <v>56</v>
      </c>
      <c r="C15" s="3" t="s">
        <v>158</v>
      </c>
      <c r="D15" s="3" t="s">
        <v>159</v>
      </c>
      <c r="E15" s="4">
        <v>-37319</v>
      </c>
      <c r="F15" s="4">
        <v>-384993</v>
      </c>
      <c r="G15" s="3" t="s">
        <v>52</v>
      </c>
      <c r="H15" s="3" t="s">
        <v>57</v>
      </c>
      <c r="I15" s="3" t="s">
        <v>58</v>
      </c>
      <c r="J15">
        <f t="shared" si="1"/>
        <v>-3.7319</v>
      </c>
      <c r="K15">
        <f t="shared" si="0"/>
        <v>-38.499299999999998</v>
      </c>
    </row>
    <row r="16" spans="1:11" ht="72" x14ac:dyDescent="0.3">
      <c r="A16" s="3">
        <v>4003</v>
      </c>
      <c r="B16" s="3" t="s">
        <v>60</v>
      </c>
      <c r="C16" s="3" t="s">
        <v>160</v>
      </c>
      <c r="D16" s="3" t="s">
        <v>161</v>
      </c>
      <c r="E16" s="4">
        <v>-81227</v>
      </c>
      <c r="F16" s="4">
        <v>-349026</v>
      </c>
      <c r="G16" s="3" t="s">
        <v>52</v>
      </c>
      <c r="H16" s="3" t="s">
        <v>61</v>
      </c>
      <c r="I16" s="3" t="s">
        <v>62</v>
      </c>
      <c r="J16">
        <f t="shared" si="1"/>
        <v>-8.1227</v>
      </c>
      <c r="K16">
        <f t="shared" si="0"/>
        <v>-34.9026</v>
      </c>
    </row>
    <row r="17" spans="1:11" ht="86.4" x14ac:dyDescent="0.3">
      <c r="A17" s="3">
        <v>4004</v>
      </c>
      <c r="B17" s="3" t="s">
        <v>64</v>
      </c>
      <c r="C17" s="3" t="s">
        <v>162</v>
      </c>
      <c r="D17" s="3" t="s">
        <v>163</v>
      </c>
      <c r="E17" s="4">
        <v>-58404</v>
      </c>
      <c r="F17" s="4">
        <v>-352065</v>
      </c>
      <c r="G17" s="3" t="s">
        <v>52</v>
      </c>
      <c r="H17" s="3" t="s">
        <v>65</v>
      </c>
      <c r="I17" s="3" t="s">
        <v>66</v>
      </c>
      <c r="J17">
        <f t="shared" si="1"/>
        <v>-5.8403999999999998</v>
      </c>
      <c r="K17">
        <f t="shared" si="0"/>
        <v>-35.206499999999998</v>
      </c>
    </row>
    <row r="18" spans="1:11" ht="57.6" x14ac:dyDescent="0.3">
      <c r="A18" s="3">
        <v>5001</v>
      </c>
      <c r="B18" s="3" t="s">
        <v>68</v>
      </c>
      <c r="C18" s="3" t="s">
        <v>164</v>
      </c>
      <c r="D18" s="3" t="s">
        <v>165</v>
      </c>
      <c r="E18" s="4">
        <v>-254405</v>
      </c>
      <c r="F18" s="4">
        <v>-492923</v>
      </c>
      <c r="G18" s="3" t="s">
        <v>69</v>
      </c>
      <c r="H18" s="3" t="s">
        <v>70</v>
      </c>
      <c r="I18" s="3" t="s">
        <v>71</v>
      </c>
      <c r="J18">
        <f t="shared" si="1"/>
        <v>-25.4405</v>
      </c>
      <c r="K18">
        <f t="shared" si="0"/>
        <v>-49.292299999999997</v>
      </c>
    </row>
    <row r="19" spans="1:11" ht="57.6" x14ac:dyDescent="0.3">
      <c r="A19" s="3">
        <v>5002</v>
      </c>
      <c r="B19" s="3" t="s">
        <v>73</v>
      </c>
      <c r="C19" s="3" t="s">
        <v>166</v>
      </c>
      <c r="D19" s="3" t="s">
        <v>167</v>
      </c>
      <c r="E19" s="4">
        <v>-233044</v>
      </c>
      <c r="F19" s="4">
        <v>-511691</v>
      </c>
      <c r="G19" s="3" t="s">
        <v>69</v>
      </c>
      <c r="H19" s="3" t="s">
        <v>70</v>
      </c>
      <c r="I19" s="3" t="s">
        <v>74</v>
      </c>
      <c r="J19">
        <f t="shared" si="1"/>
        <v>-23.304400000000001</v>
      </c>
      <c r="K19">
        <f t="shared" si="0"/>
        <v>-51.1691</v>
      </c>
    </row>
    <row r="20" spans="1:11" ht="72" x14ac:dyDescent="0.3">
      <c r="A20" s="3">
        <v>5003</v>
      </c>
      <c r="B20" s="3" t="s">
        <v>76</v>
      </c>
      <c r="C20" s="3" t="s">
        <v>168</v>
      </c>
      <c r="D20" s="3" t="s">
        <v>169</v>
      </c>
      <c r="E20" s="4">
        <v>-275949</v>
      </c>
      <c r="F20" s="4">
        <v>-485482</v>
      </c>
      <c r="G20" s="3" t="s">
        <v>69</v>
      </c>
      <c r="H20" s="3" t="s">
        <v>77</v>
      </c>
      <c r="I20" s="3" t="s">
        <v>78</v>
      </c>
      <c r="J20">
        <f t="shared" si="1"/>
        <v>-27.594899999999999</v>
      </c>
      <c r="K20">
        <f t="shared" si="0"/>
        <v>-48.548200000000001</v>
      </c>
    </row>
    <row r="21" spans="1:11" ht="72" x14ac:dyDescent="0.3">
      <c r="A21" s="3">
        <v>5004</v>
      </c>
      <c r="B21" s="3" t="s">
        <v>80</v>
      </c>
      <c r="C21" s="3" t="s">
        <v>170</v>
      </c>
      <c r="D21" s="3" t="s">
        <v>171</v>
      </c>
      <c r="E21" s="4">
        <v>-263044</v>
      </c>
      <c r="F21" s="4">
        <v>-488461</v>
      </c>
      <c r="G21" s="3" t="s">
        <v>69</v>
      </c>
      <c r="H21" s="3" t="s">
        <v>77</v>
      </c>
      <c r="I21" s="3" t="s">
        <v>81</v>
      </c>
      <c r="J21">
        <f t="shared" si="1"/>
        <v>-26.304400000000001</v>
      </c>
      <c r="K21">
        <f t="shared" si="0"/>
        <v>-48.8461</v>
      </c>
    </row>
    <row r="22" spans="1:11" ht="72" x14ac:dyDescent="0.3">
      <c r="A22" s="3">
        <v>6001</v>
      </c>
      <c r="B22" s="3" t="s">
        <v>83</v>
      </c>
      <c r="C22" s="3" t="s">
        <v>172</v>
      </c>
      <c r="D22" s="3" t="s">
        <v>173</v>
      </c>
      <c r="E22" s="4">
        <v>-166799</v>
      </c>
      <c r="F22" s="4">
        <v>-492550</v>
      </c>
      <c r="G22" s="3" t="s">
        <v>84</v>
      </c>
      <c r="H22" s="3" t="s">
        <v>85</v>
      </c>
      <c r="I22" s="3" t="s">
        <v>86</v>
      </c>
      <c r="J22">
        <f t="shared" si="1"/>
        <v>-16.6799</v>
      </c>
      <c r="K22">
        <f t="shared" si="0"/>
        <v>-49.255000000000003</v>
      </c>
    </row>
    <row r="23" spans="1:11" ht="72" x14ac:dyDescent="0.3">
      <c r="A23" s="3">
        <v>6002</v>
      </c>
      <c r="B23" s="3" t="s">
        <v>88</v>
      </c>
      <c r="C23" s="3" t="s">
        <v>174</v>
      </c>
      <c r="D23" s="3" t="s">
        <v>175</v>
      </c>
      <c r="E23" s="4">
        <v>-204697</v>
      </c>
      <c r="F23" s="4">
        <v>-546201</v>
      </c>
      <c r="G23" s="3" t="s">
        <v>84</v>
      </c>
      <c r="H23" s="3" t="s">
        <v>89</v>
      </c>
      <c r="I23" s="3" t="s">
        <v>90</v>
      </c>
      <c r="J23">
        <f t="shared" si="1"/>
        <v>-20.4697</v>
      </c>
      <c r="K23">
        <f t="shared" si="0"/>
        <v>-54.620100000000001</v>
      </c>
    </row>
    <row r="24" spans="1:11" ht="100.8" x14ac:dyDescent="0.3">
      <c r="A24" s="3">
        <v>6003</v>
      </c>
      <c r="B24" s="3" t="s">
        <v>92</v>
      </c>
      <c r="C24" s="3" t="s">
        <v>176</v>
      </c>
      <c r="D24" s="3" t="s">
        <v>177</v>
      </c>
      <c r="E24" s="4">
        <v>-155696</v>
      </c>
      <c r="F24" s="4">
        <v>-560735</v>
      </c>
      <c r="G24" s="3" t="s">
        <v>84</v>
      </c>
      <c r="H24" s="3" t="s">
        <v>93</v>
      </c>
      <c r="I24" s="3" t="s">
        <v>94</v>
      </c>
      <c r="J24">
        <f t="shared" si="1"/>
        <v>-15.569599999999999</v>
      </c>
      <c r="K24">
        <f t="shared" si="0"/>
        <v>-56.073500000000003</v>
      </c>
    </row>
    <row r="25" spans="1:11" ht="43.2" x14ac:dyDescent="0.3">
      <c r="A25" s="3">
        <v>6004</v>
      </c>
      <c r="B25" s="3" t="s">
        <v>96</v>
      </c>
      <c r="C25" s="3" t="s">
        <v>178</v>
      </c>
      <c r="D25" s="3" t="s">
        <v>179</v>
      </c>
      <c r="E25" s="4">
        <v>-158150</v>
      </c>
      <c r="F25" s="4">
        <v>-478976</v>
      </c>
      <c r="G25" s="3" t="s">
        <v>84</v>
      </c>
      <c r="H25" s="3" t="s">
        <v>97</v>
      </c>
      <c r="I25" s="3" t="s">
        <v>98</v>
      </c>
      <c r="J25">
        <f t="shared" si="1"/>
        <v>-15.815</v>
      </c>
      <c r="K25">
        <f t="shared" si="0"/>
        <v>-47.897599999999997</v>
      </c>
    </row>
    <row r="26" spans="1:11" ht="57.6" x14ac:dyDescent="0.3">
      <c r="A26" s="3">
        <v>7001</v>
      </c>
      <c r="B26" s="3" t="s">
        <v>100</v>
      </c>
      <c r="C26" s="3" t="s">
        <v>180</v>
      </c>
      <c r="D26" s="3" t="s">
        <v>181</v>
      </c>
      <c r="E26" s="4">
        <v>-228964</v>
      </c>
      <c r="F26" s="4">
        <v>-431246</v>
      </c>
      <c r="G26" s="3" t="s">
        <v>7</v>
      </c>
      <c r="H26" s="3" t="s">
        <v>101</v>
      </c>
      <c r="I26" s="3" t="s">
        <v>102</v>
      </c>
      <c r="J26">
        <f t="shared" si="1"/>
        <v>-22.8964</v>
      </c>
      <c r="K26">
        <f t="shared" si="0"/>
        <v>-43.124600000000001</v>
      </c>
    </row>
    <row r="27" spans="1:11" ht="57.6" x14ac:dyDescent="0.3">
      <c r="A27" s="3">
        <v>7002</v>
      </c>
      <c r="B27" s="3" t="s">
        <v>104</v>
      </c>
      <c r="C27" s="3" t="s">
        <v>182</v>
      </c>
      <c r="D27" s="3" t="s">
        <v>183</v>
      </c>
      <c r="E27" s="4">
        <v>-229035</v>
      </c>
      <c r="F27" s="4">
        <v>-431768</v>
      </c>
      <c r="G27" s="3" t="s">
        <v>7</v>
      </c>
      <c r="H27" s="3" t="s">
        <v>101</v>
      </c>
      <c r="I27" s="3" t="s">
        <v>105</v>
      </c>
      <c r="J27">
        <f t="shared" si="1"/>
        <v>-22.903500000000001</v>
      </c>
      <c r="K27">
        <f t="shared" si="0"/>
        <v>-43.1768</v>
      </c>
    </row>
    <row r="28" spans="1:11" ht="72" x14ac:dyDescent="0.3">
      <c r="A28" s="3">
        <v>7003</v>
      </c>
      <c r="B28" s="3" t="s">
        <v>107</v>
      </c>
      <c r="C28" s="3" t="s">
        <v>184</v>
      </c>
      <c r="D28" s="3" t="s">
        <v>185</v>
      </c>
      <c r="E28" s="4">
        <v>-230011</v>
      </c>
      <c r="F28" s="4">
        <v>-433654</v>
      </c>
      <c r="G28" s="3" t="s">
        <v>7</v>
      </c>
      <c r="H28" s="3" t="s">
        <v>101</v>
      </c>
      <c r="I28" s="3" t="s">
        <v>105</v>
      </c>
      <c r="J28">
        <f t="shared" si="1"/>
        <v>-23.001100000000001</v>
      </c>
      <c r="K28">
        <f t="shared" si="0"/>
        <v>-43.365400000000001</v>
      </c>
    </row>
    <row r="29" spans="1:11" ht="72" x14ac:dyDescent="0.3">
      <c r="A29" s="3">
        <v>7004</v>
      </c>
      <c r="B29" s="3" t="s">
        <v>109</v>
      </c>
      <c r="C29" s="3" t="s">
        <v>186</v>
      </c>
      <c r="D29" s="3" t="s">
        <v>187</v>
      </c>
      <c r="E29" s="4">
        <v>-225234</v>
      </c>
      <c r="F29" s="4">
        <v>-441049</v>
      </c>
      <c r="G29" s="3" t="s">
        <v>7</v>
      </c>
      <c r="H29" s="3" t="s">
        <v>101</v>
      </c>
      <c r="I29" s="3" t="s">
        <v>110</v>
      </c>
      <c r="J29">
        <f t="shared" si="1"/>
        <v>-22.523399999999999</v>
      </c>
      <c r="K29">
        <f t="shared" si="0"/>
        <v>-44.104900000000001</v>
      </c>
    </row>
    <row r="30" spans="1:11" ht="57.6" x14ac:dyDescent="0.3">
      <c r="A30" s="3">
        <v>8001</v>
      </c>
      <c r="B30" s="3" t="s">
        <v>112</v>
      </c>
      <c r="C30" s="3" t="s">
        <v>188</v>
      </c>
      <c r="D30" s="3" t="s">
        <v>189</v>
      </c>
      <c r="E30" s="4">
        <v>-25297</v>
      </c>
      <c r="F30" s="4">
        <v>-443028</v>
      </c>
      <c r="G30" s="3" t="s">
        <v>52</v>
      </c>
      <c r="H30" s="3" t="s">
        <v>113</v>
      </c>
      <c r="I30" s="3" t="s">
        <v>114</v>
      </c>
      <c r="J30">
        <f t="shared" si="1"/>
        <v>-2.5297000000000001</v>
      </c>
      <c r="K30">
        <f t="shared" si="0"/>
        <v>-44.302799999999998</v>
      </c>
    </row>
    <row r="31" spans="1:11" ht="57.6" x14ac:dyDescent="0.3">
      <c r="A31" s="3">
        <v>8002</v>
      </c>
      <c r="B31" s="3" t="s">
        <v>116</v>
      </c>
      <c r="C31" s="3" t="s">
        <v>190</v>
      </c>
      <c r="D31" s="3" t="s">
        <v>191</v>
      </c>
      <c r="E31" s="4">
        <v>-50826</v>
      </c>
      <c r="F31" s="4">
        <v>-428022</v>
      </c>
      <c r="G31" s="3" t="s">
        <v>52</v>
      </c>
      <c r="H31" s="3" t="s">
        <v>117</v>
      </c>
      <c r="I31" s="3" t="s">
        <v>118</v>
      </c>
      <c r="J31">
        <f t="shared" si="1"/>
        <v>-5.0826000000000002</v>
      </c>
      <c r="K31">
        <f t="shared" si="0"/>
        <v>-42.802199999999999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- Emerson R.</dc:creator>
  <cp:lastModifiedBy>- Emerson R.</cp:lastModifiedBy>
  <dcterms:created xsi:type="dcterms:W3CDTF">2015-06-05T18:19:34Z</dcterms:created>
  <dcterms:modified xsi:type="dcterms:W3CDTF">2025-12-29T14:13:57Z</dcterms:modified>
</cp:coreProperties>
</file>