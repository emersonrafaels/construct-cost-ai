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orcamentos/"/>
    </mc:Choice>
  </mc:AlternateContent>
  <xr:revisionPtr revIDLastSave="84" documentId="11_2B596957557796436140C5F050CBC83569B5E5FB" xr6:coauthVersionLast="47" xr6:coauthVersionMax="47" xr10:uidLastSave="{7A730FC0-1627-48D5-AF51-2A2C9EC1A716}"/>
  <bookViews>
    <workbookView xWindow="-108" yWindow="-108" windowWidth="23256" windowHeight="12456" xr2:uid="{00000000-000D-0000-FFFF-FFFF00000000}"/>
  </bookViews>
  <sheets>
    <sheet name="LPU" sheetId="1" r:id="rId1"/>
    <sheet name="Construto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A2" i="1"/>
</calcChain>
</file>

<file path=xl/sharedStrings.xml><?xml version="1.0" encoding="utf-8"?>
<sst xmlns="http://schemas.openxmlformats.org/spreadsheetml/2006/main" count="101" uniqueCount="61">
  <si>
    <t>itaú</t>
  </si>
  <si>
    <t>JAPJ CONSTRUCOES CIVIS LTDA pu_sudeste</t>
  </si>
  <si>
    <t>SP-LINS DE VASCONCELOS - Simulação</t>
  </si>
  <si>
    <t>UPE</t>
  </si>
  <si>
    <t>AGÊNCIA</t>
  </si>
  <si>
    <t>NOME AGÊNCIA</t>
  </si>
  <si>
    <t>TOTAL</t>
  </si>
  <si>
    <t>DESLOCAMENTO</t>
  </si>
  <si>
    <t>SERVIÇOS</t>
  </si>
  <si>
    <t>SP-LINS DE VASCONCELOS</t>
  </si>
  <si>
    <t>CONTRATO</t>
  </si>
  <si>
    <t>VERSÃO</t>
  </si>
  <si>
    <t>TIPO</t>
  </si>
  <si>
    <t>OMISSOS</t>
  </si>
  <si>
    <t>4900037181</t>
  </si>
  <si>
    <t>EXECUÇÃO DE OBRA</t>
  </si>
  <si>
    <t>Filtro</t>
  </si>
  <si>
    <t>ID</t>
  </si>
  <si>
    <t>Descrição</t>
  </si>
  <si>
    <t>Unitário</t>
  </si>
  <si>
    <t>Comentário</t>
  </si>
  <si>
    <t>Quantidade</t>
  </si>
  <si>
    <t>Total</t>
  </si>
  <si>
    <t>Sim</t>
  </si>
  <si>
    <t>OBA-0034</t>
  </si>
  <si>
    <t>FORRO GESSO ACARTONADO</t>
  </si>
  <si>
    <t>M2</t>
  </si>
  <si>
    <t>OBA-0043</t>
  </si>
  <si>
    <t>LATEX PVA MASSA CORRIDA</t>
  </si>
  <si>
    <t>OBA-0067</t>
  </si>
  <si>
    <t>RETIRADA DE FORRO MANUAL</t>
  </si>
  <si>
    <t>OBB-0232</t>
  </si>
  <si>
    <t>ANDAIME TUBULAR</t>
  </si>
  <si>
    <t>M</t>
  </si>
  <si>
    <t>OBB-0470</t>
  </si>
  <si>
    <t>FURO EM CONCRETO</t>
  </si>
  <si>
    <t>UN</t>
  </si>
  <si>
    <t>OBB-1522</t>
  </si>
  <si>
    <t>CABO CAT6 - VERMELHO</t>
  </si>
  <si>
    <t>NÃO LPU</t>
  </si>
  <si>
    <t>SUPORTE SIMPLES ANTENAS</t>
  </si>
  <si>
    <t>HASTE PARA FIXAÇÃO</t>
  </si>
  <si>
    <t>Construtora</t>
  </si>
  <si>
    <t>QUANTIDADE SINERGIAS</t>
  </si>
  <si>
    <t>DONO</t>
  </si>
  <si>
    <t>C379 - AMPLIFIAÇÃO WIFI</t>
  </si>
  <si>
    <t>LIMPEZA FINAL DE OBRA</t>
  </si>
  <si>
    <t>Não</t>
  </si>
  <si>
    <t>OBA-3026</t>
  </si>
  <si>
    <t>OBA-3027</t>
  </si>
  <si>
    <t>RESTAURACAO DE FORRO GESSO</t>
  </si>
  <si>
    <t>OBB-3028</t>
  </si>
  <si>
    <t>FIXACAO DE PERFILADO METALICO</t>
  </si>
  <si>
    <t>OBB-3029</t>
  </si>
  <si>
    <t>OBB-3030</t>
  </si>
  <si>
    <t>OBA-3031</t>
  </si>
  <si>
    <t>OBB-3033</t>
  </si>
  <si>
    <t>OBB-3034</t>
  </si>
  <si>
    <t>OBA-3035</t>
  </si>
  <si>
    <t>PASSAGEM DE CABO UTP CAT6</t>
  </si>
  <si>
    <t>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</si>
</sst>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/>
  </sheetViews>
  <sheetFormatPr defaultRowHeight="14.4" x14ac:dyDescent="0.3"/>
  <cols>
    <col min="1" max="1" width="37" bestFit="1" customWidth="1"/>
    <col min="2" max="2" width="32.88671875" bestFit="1" customWidth="1"/>
    <col min="3" max="3" width="9.21875" bestFit="1" customWidth="1"/>
    <col min="4" max="4" width="26.44140625" customWidth="1"/>
    <col min="5" max="5" width="21.109375" bestFit="1" customWidth="1"/>
    <col min="6" max="6" width="12.88671875" bestFit="1" customWidth="1"/>
    <col min="7" max="7" width="11.88671875" bestFit="1" customWidth="1"/>
    <col min="8" max="8" width="12.88671875" bestFit="1" customWidth="1"/>
    <col min="9" max="9" width="11.88671875" bestFit="1" customWidth="1"/>
  </cols>
  <sheetData>
    <row r="1" spans="1:9" x14ac:dyDescent="0.3">
      <c r="A1" t="s">
        <v>0</v>
      </c>
    </row>
    <row r="2" spans="1:9" x14ac:dyDescent="0.3">
      <c r="A2" t="str">
        <f>Construtora!B1</f>
        <v>JAPJ CONSTRUCOES CIVIS LTDA pu_sudeste</v>
      </c>
    </row>
    <row r="3" spans="1:9" x14ac:dyDescent="0.3">
      <c r="B3" t="s">
        <v>2</v>
      </c>
    </row>
    <row r="5" spans="1:9" x14ac:dyDescent="0.3">
      <c r="B5" s="9" t="s">
        <v>3</v>
      </c>
      <c r="C5" s="9" t="s">
        <v>4</v>
      </c>
      <c r="D5" s="9" t="s">
        <v>5</v>
      </c>
      <c r="E5" s="10" t="s">
        <v>6</v>
      </c>
      <c r="F5" s="10"/>
      <c r="G5" s="10"/>
      <c r="H5" s="10"/>
    </row>
    <row r="6" spans="1:9" x14ac:dyDescent="0.3">
      <c r="B6" s="9"/>
      <c r="C6" s="9"/>
      <c r="D6" s="9"/>
      <c r="E6" s="6" t="s">
        <v>7</v>
      </c>
      <c r="F6" s="6" t="s">
        <v>8</v>
      </c>
      <c r="G6" s="6" t="s">
        <v>13</v>
      </c>
      <c r="H6" s="6" t="s">
        <v>6</v>
      </c>
    </row>
    <row r="7" spans="1:9" x14ac:dyDescent="0.3">
      <c r="B7" s="2">
        <v>190272</v>
      </c>
      <c r="C7" s="2">
        <v>167</v>
      </c>
      <c r="D7" s="2" t="s">
        <v>9</v>
      </c>
      <c r="E7">
        <v>3124.52</v>
      </c>
      <c r="F7" s="1">
        <v>8487.0400000000009</v>
      </c>
      <c r="G7" s="1">
        <v>8145.48</v>
      </c>
      <c r="H7" s="1">
        <v>19757.04</v>
      </c>
    </row>
    <row r="9" spans="1:9" x14ac:dyDescent="0.3">
      <c r="B9" s="5" t="s">
        <v>10</v>
      </c>
      <c r="C9" s="5" t="s">
        <v>11</v>
      </c>
      <c r="D9" s="5" t="s">
        <v>12</v>
      </c>
      <c r="E9" s="5" t="s">
        <v>43</v>
      </c>
      <c r="F9" s="10" t="s">
        <v>44</v>
      </c>
      <c r="G9" s="10"/>
      <c r="H9" s="10"/>
    </row>
    <row r="10" spans="1:9" x14ac:dyDescent="0.3">
      <c r="B10" s="11" t="s">
        <v>14</v>
      </c>
      <c r="C10" s="11">
        <v>1</v>
      </c>
      <c r="D10" s="11" t="s">
        <v>15</v>
      </c>
      <c r="E10" s="11">
        <v>0</v>
      </c>
      <c r="F10" s="12" t="s">
        <v>45</v>
      </c>
      <c r="G10" s="12"/>
      <c r="H10" s="12"/>
    </row>
    <row r="11" spans="1:9" x14ac:dyDescent="0.3">
      <c r="B11" s="11"/>
      <c r="C11" s="11"/>
      <c r="D11" s="11"/>
      <c r="E11" s="11"/>
      <c r="F11" s="8">
        <f>H7</f>
        <v>19757.04</v>
      </c>
      <c r="G11" s="8"/>
      <c r="H11" s="8"/>
    </row>
    <row r="13" spans="1:9" x14ac:dyDescent="0.3">
      <c r="B13" s="4" t="s">
        <v>16</v>
      </c>
      <c r="C13" s="4" t="s">
        <v>17</v>
      </c>
      <c r="D13" s="4" t="s">
        <v>18</v>
      </c>
      <c r="E13" s="4" t="s">
        <v>60</v>
      </c>
      <c r="F13" s="4" t="s">
        <v>19</v>
      </c>
      <c r="G13" s="4" t="s">
        <v>20</v>
      </c>
      <c r="H13" s="4" t="s">
        <v>21</v>
      </c>
      <c r="I13" s="4" t="s">
        <v>22</v>
      </c>
    </row>
    <row r="14" spans="1:9" x14ac:dyDescent="0.3">
      <c r="B14" s="2" t="s">
        <v>23</v>
      </c>
      <c r="C14" s="2" t="s">
        <v>24</v>
      </c>
      <c r="D14" s="2" t="s">
        <v>25</v>
      </c>
      <c r="E14" s="2" t="s">
        <v>26</v>
      </c>
      <c r="F14" s="7">
        <v>124.57</v>
      </c>
      <c r="G14" s="2"/>
      <c r="H14" s="2">
        <v>4</v>
      </c>
      <c r="I14" s="7">
        <v>498.3</v>
      </c>
    </row>
    <row r="15" spans="1:9" x14ac:dyDescent="0.3">
      <c r="B15" s="2" t="s">
        <v>23</v>
      </c>
      <c r="C15" s="2" t="s">
        <v>27</v>
      </c>
      <c r="D15" s="2" t="s">
        <v>28</v>
      </c>
      <c r="E15" s="2" t="s">
        <v>26</v>
      </c>
      <c r="F15" s="7">
        <v>49.1</v>
      </c>
      <c r="G15" s="2"/>
      <c r="H15" s="2">
        <v>5</v>
      </c>
      <c r="I15" s="7">
        <v>245.5</v>
      </c>
    </row>
    <row r="16" spans="1:9" x14ac:dyDescent="0.3">
      <c r="B16" s="2" t="s">
        <v>23</v>
      </c>
      <c r="C16" s="2" t="s">
        <v>29</v>
      </c>
      <c r="D16" s="2" t="s">
        <v>30</v>
      </c>
      <c r="E16" s="2" t="s">
        <v>26</v>
      </c>
      <c r="F16" s="7">
        <v>19.21</v>
      </c>
      <c r="G16" s="2"/>
      <c r="H16" s="2">
        <v>50</v>
      </c>
      <c r="I16" s="7">
        <v>960.5</v>
      </c>
    </row>
    <row r="17" spans="2:9" x14ac:dyDescent="0.3">
      <c r="B17" s="2" t="s">
        <v>23</v>
      </c>
      <c r="C17" s="2" t="s">
        <v>31</v>
      </c>
      <c r="D17" s="2" t="s">
        <v>32</v>
      </c>
      <c r="E17" s="2" t="s">
        <v>33</v>
      </c>
      <c r="F17" s="7">
        <v>91.35</v>
      </c>
      <c r="G17" s="2"/>
      <c r="H17" s="2">
        <v>4</v>
      </c>
      <c r="I17" s="7">
        <v>365.4</v>
      </c>
    </row>
    <row r="18" spans="2:9" x14ac:dyDescent="0.3">
      <c r="B18" s="2" t="s">
        <v>23</v>
      </c>
      <c r="C18" s="2" t="s">
        <v>34</v>
      </c>
      <c r="D18" s="2" t="s">
        <v>35</v>
      </c>
      <c r="E18" s="2" t="s">
        <v>36</v>
      </c>
      <c r="F18" s="7">
        <v>120.21</v>
      </c>
      <c r="G18" s="2"/>
      <c r="H18" s="2">
        <v>16</v>
      </c>
      <c r="I18" s="7">
        <v>1919.36</v>
      </c>
    </row>
    <row r="19" spans="2:9" x14ac:dyDescent="0.3">
      <c r="B19" s="2" t="s">
        <v>23</v>
      </c>
      <c r="C19" s="2" t="s">
        <v>37</v>
      </c>
      <c r="D19" s="2" t="s">
        <v>38</v>
      </c>
      <c r="E19" s="2" t="s">
        <v>33</v>
      </c>
      <c r="F19" s="7">
        <v>7.67</v>
      </c>
      <c r="G19" s="2"/>
      <c r="H19" s="2">
        <v>150</v>
      </c>
      <c r="I19" s="7">
        <v>1150.5</v>
      </c>
    </row>
    <row r="20" spans="2:9" x14ac:dyDescent="0.3">
      <c r="B20" s="2" t="s">
        <v>23</v>
      </c>
      <c r="C20" s="2" t="s">
        <v>39</v>
      </c>
      <c r="D20" s="2" t="s">
        <v>40</v>
      </c>
      <c r="E20" s="2" t="s">
        <v>36</v>
      </c>
      <c r="F20" s="7">
        <v>164.09</v>
      </c>
      <c r="G20" s="2"/>
      <c r="H20" s="2">
        <v>1</v>
      </c>
      <c r="I20" s="7">
        <v>164.09</v>
      </c>
    </row>
    <row r="21" spans="2:9" x14ac:dyDescent="0.3">
      <c r="B21" s="2" t="s">
        <v>23</v>
      </c>
      <c r="C21" s="2" t="s">
        <v>39</v>
      </c>
      <c r="D21" s="2" t="s">
        <v>41</v>
      </c>
      <c r="E21" s="2" t="s">
        <v>33</v>
      </c>
      <c r="F21" s="7">
        <v>157.29</v>
      </c>
      <c r="G21" s="2"/>
      <c r="H21" s="2">
        <v>3</v>
      </c>
      <c r="I21" s="7">
        <v>471.87</v>
      </c>
    </row>
    <row r="22" spans="2:9" x14ac:dyDescent="0.3">
      <c r="B22" s="2" t="s">
        <v>47</v>
      </c>
      <c r="C22" s="2" t="s">
        <v>48</v>
      </c>
      <c r="D22" s="2" t="s">
        <v>25</v>
      </c>
      <c r="E22" s="2" t="s">
        <v>36</v>
      </c>
      <c r="F22" s="7">
        <v>104.01</v>
      </c>
      <c r="G22" s="2"/>
      <c r="H22" s="2">
        <v>0</v>
      </c>
      <c r="I22" s="7">
        <v>0</v>
      </c>
    </row>
    <row r="23" spans="2:9" x14ac:dyDescent="0.3">
      <c r="B23" s="2" t="s">
        <v>47</v>
      </c>
      <c r="C23" s="2" t="s">
        <v>49</v>
      </c>
      <c r="D23" s="2" t="s">
        <v>50</v>
      </c>
      <c r="E23" s="2" t="s">
        <v>33</v>
      </c>
      <c r="F23" s="7">
        <v>79.44</v>
      </c>
      <c r="G23" s="2"/>
      <c r="H23" s="2">
        <v>0</v>
      </c>
      <c r="I23" s="7">
        <v>0</v>
      </c>
    </row>
    <row r="24" spans="2:9" x14ac:dyDescent="0.3">
      <c r="B24" s="2" t="s">
        <v>47</v>
      </c>
      <c r="C24" s="2" t="s">
        <v>51</v>
      </c>
      <c r="D24" s="2" t="s">
        <v>52</v>
      </c>
      <c r="E24" s="2" t="s">
        <v>33</v>
      </c>
      <c r="F24" s="7">
        <v>246.65</v>
      </c>
      <c r="G24" s="2"/>
      <c r="H24" s="2">
        <v>0</v>
      </c>
      <c r="I24" s="7">
        <v>0</v>
      </c>
    </row>
    <row r="25" spans="2:9" x14ac:dyDescent="0.3">
      <c r="B25" s="2" t="s">
        <v>23</v>
      </c>
      <c r="C25" s="2" t="s">
        <v>53</v>
      </c>
      <c r="D25" s="2" t="s">
        <v>46</v>
      </c>
      <c r="E25" s="2" t="s">
        <v>33</v>
      </c>
      <c r="F25" s="7">
        <v>237.14</v>
      </c>
      <c r="G25" s="2"/>
      <c r="H25" s="2">
        <v>43</v>
      </c>
      <c r="I25" s="7">
        <v>10197.02</v>
      </c>
    </row>
    <row r="26" spans="2:9" x14ac:dyDescent="0.3">
      <c r="B26" s="2"/>
      <c r="C26" s="2"/>
      <c r="D26" s="2"/>
      <c r="E26" s="2"/>
      <c r="F26" s="7"/>
      <c r="G26" s="2"/>
      <c r="H26" s="2"/>
      <c r="I26" s="7"/>
    </row>
    <row r="27" spans="2:9" x14ac:dyDescent="0.3">
      <c r="B27" s="2" t="s">
        <v>23</v>
      </c>
      <c r="C27" s="2" t="s">
        <v>54</v>
      </c>
      <c r="D27" s="2" t="s">
        <v>32</v>
      </c>
      <c r="E27" s="2" t="s">
        <v>36</v>
      </c>
      <c r="F27" s="7">
        <v>190.77</v>
      </c>
      <c r="G27" s="2"/>
      <c r="H27" s="2">
        <v>177</v>
      </c>
      <c r="I27" s="7">
        <v>33766.29</v>
      </c>
    </row>
    <row r="28" spans="2:9" x14ac:dyDescent="0.3">
      <c r="B28" s="2" t="s">
        <v>47</v>
      </c>
      <c r="C28" s="2" t="s">
        <v>55</v>
      </c>
      <c r="D28" s="2" t="s">
        <v>46</v>
      </c>
      <c r="E28" s="2" t="s">
        <v>33</v>
      </c>
      <c r="F28" s="7">
        <v>137.05000000000001</v>
      </c>
      <c r="G28" s="2"/>
      <c r="H28" s="2">
        <v>0</v>
      </c>
      <c r="I28" s="7">
        <v>0</v>
      </c>
    </row>
    <row r="29" spans="2:9" x14ac:dyDescent="0.3">
      <c r="B29" s="2" t="s">
        <v>23</v>
      </c>
      <c r="C29" s="2" t="s">
        <v>39</v>
      </c>
      <c r="D29" s="2" t="s">
        <v>32</v>
      </c>
      <c r="E29" s="2" t="s">
        <v>26</v>
      </c>
      <c r="F29" s="7">
        <v>89.82</v>
      </c>
      <c r="G29" s="2"/>
      <c r="H29" s="2">
        <v>151</v>
      </c>
      <c r="I29" s="7">
        <v>13562.82</v>
      </c>
    </row>
    <row r="30" spans="2:9" x14ac:dyDescent="0.3">
      <c r="B30" s="2" t="s">
        <v>23</v>
      </c>
      <c r="C30" s="2" t="s">
        <v>56</v>
      </c>
      <c r="D30" s="2" t="s">
        <v>52</v>
      </c>
      <c r="E30" s="2" t="s">
        <v>36</v>
      </c>
      <c r="F30" s="7">
        <v>22.25</v>
      </c>
      <c r="G30" s="2"/>
      <c r="H30" s="2">
        <v>18</v>
      </c>
      <c r="I30" s="7">
        <v>400.5</v>
      </c>
    </row>
    <row r="31" spans="2:9" x14ac:dyDescent="0.3">
      <c r="B31" s="2" t="s">
        <v>23</v>
      </c>
      <c r="C31" s="2" t="s">
        <v>57</v>
      </c>
      <c r="D31" s="2" t="s">
        <v>32</v>
      </c>
      <c r="E31" s="2" t="s">
        <v>33</v>
      </c>
      <c r="F31" s="7">
        <v>169.89</v>
      </c>
      <c r="G31" s="2"/>
      <c r="H31" s="2">
        <v>55</v>
      </c>
      <c r="I31" s="7">
        <v>9343.9500000000007</v>
      </c>
    </row>
    <row r="32" spans="2:9" x14ac:dyDescent="0.3">
      <c r="B32" s="2" t="s">
        <v>23</v>
      </c>
      <c r="C32" s="2" t="s">
        <v>58</v>
      </c>
      <c r="D32" s="2" t="s">
        <v>59</v>
      </c>
      <c r="E32" s="2" t="s">
        <v>33</v>
      </c>
      <c r="F32" s="7">
        <v>66.81</v>
      </c>
      <c r="G32" s="2"/>
      <c r="H32" s="2">
        <v>122</v>
      </c>
      <c r="I32" s="7">
        <v>8150.82</v>
      </c>
    </row>
  </sheetData>
  <mergeCells count="11">
    <mergeCell ref="F11:H11"/>
    <mergeCell ref="B5:B6"/>
    <mergeCell ref="C5:C6"/>
    <mergeCell ref="D5:D6"/>
    <mergeCell ref="E5:H5"/>
    <mergeCell ref="B10:B11"/>
    <mergeCell ref="C10:C11"/>
    <mergeCell ref="D10:D11"/>
    <mergeCell ref="E10:E11"/>
    <mergeCell ref="F9:H9"/>
    <mergeCell ref="F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A0F-958F-41E6-A0C8-60C8AC713846}">
  <dimension ref="A1:B1"/>
  <sheetViews>
    <sheetView workbookViewId="0">
      <selection sqref="A1:B1048576"/>
    </sheetView>
  </sheetViews>
  <sheetFormatPr defaultRowHeight="14.4" x14ac:dyDescent="0.3"/>
  <cols>
    <col min="1" max="2" width="44" style="2" customWidth="1"/>
  </cols>
  <sheetData>
    <row r="1" spans="1:2" x14ac:dyDescent="0.3">
      <c r="A1" s="3" t="s">
        <v>42</v>
      </c>
      <c r="B1" s="3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2026-01-23T04:30:38Z</dcterms:modified>
</cp:coreProperties>
</file>