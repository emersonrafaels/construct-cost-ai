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inputs/orcamentos/"/>
    </mc:Choice>
  </mc:AlternateContent>
  <xr:revisionPtr revIDLastSave="279" documentId="11_2B5A8FE7125C5C426140C57430267256DF8CDB53" xr6:coauthVersionLast="47" xr6:coauthVersionMax="47" xr10:uidLastSave="{94257AFB-2312-4953-8212-E367DA05F019}"/>
  <bookViews>
    <workbookView xWindow="-108" yWindow="-108" windowWidth="23256" windowHeight="12456" xr2:uid="{00000000-000D-0000-FFFF-FFFF00000000}"/>
  </bookViews>
  <sheets>
    <sheet name="Resumo" sheetId="2" r:id="rId1"/>
    <sheet name="0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0" i="1" l="1"/>
  <c r="G110" i="1"/>
  <c r="H99" i="1"/>
  <c r="G99" i="1"/>
  <c r="H89" i="1"/>
  <c r="G89" i="1"/>
  <c r="H81" i="1"/>
  <c r="G81" i="1"/>
  <c r="H66" i="1"/>
  <c r="G66" i="1"/>
  <c r="H54" i="1"/>
  <c r="G54" i="1"/>
  <c r="H48" i="1"/>
  <c r="G48" i="1"/>
  <c r="H41" i="1"/>
  <c r="G41" i="1"/>
  <c r="H26" i="1"/>
  <c r="G26" i="1"/>
  <c r="H10" i="1"/>
  <c r="G10" i="1"/>
</calcChain>
</file>

<file path=xl/sharedStrings.xml><?xml version="1.0" encoding="utf-8"?>
<sst xmlns="http://schemas.openxmlformats.org/spreadsheetml/2006/main" count="254" uniqueCount="66">
  <si>
    <t>ITAÚ UNIBANCO S/A - Ag. 4830 - SANTOS - BOQUEIRÃO - SP</t>
  </si>
  <si>
    <t>ORÇAMENTO - S392 - NOVO AUTO ATENDIMENTO</t>
  </si>
  <si>
    <t>Item</t>
  </si>
  <si>
    <t>Descrição</t>
  </si>
  <si>
    <t>Un</t>
  </si>
  <si>
    <t>P.U.</t>
  </si>
  <si>
    <t>BDI</t>
  </si>
  <si>
    <t>Preço Total</t>
  </si>
  <si>
    <t>%</t>
  </si>
  <si>
    <t>OBS</t>
  </si>
  <si>
    <t>M2</t>
  </si>
  <si>
    <t>UN</t>
  </si>
  <si>
    <t>Preço Unitário</t>
  </si>
  <si>
    <t>02.01.</t>
  </si>
  <si>
    <t>SERVIÇOS PRELIMINARES</t>
  </si>
  <si>
    <t>CONTRA-PISO 2CM</t>
  </si>
  <si>
    <t>PISO VINÍLICO ROLÔ P/A (INCLUSO ARREMATE)</t>
  </si>
  <si>
    <t>FORRO GESSO ACARTONADO (INCLUI FURAÇÃO, TABICA, PERFIS)</t>
  </si>
  <si>
    <t>M</t>
  </si>
  <si>
    <t>RETIRADA DE PAINEL DO AA C/TRANSP.</t>
  </si>
  <si>
    <t>ÍNDICE ELÉTRICO - PONTO DE LUZ</t>
  </si>
  <si>
    <t>VIDRO TEMPERADO 10MM C/MOLA</t>
  </si>
  <si>
    <t>INSTALAÇÃO DE FAIXA PODOTÁTIL L=25CM C/ARGAMASSA</t>
  </si>
  <si>
    <t>02.05.</t>
  </si>
  <si>
    <t>ALVENARIAS</t>
  </si>
  <si>
    <t>RETIRADA DE FORRO MANUAL C/TRANSP.</t>
  </si>
  <si>
    <t>RETIRADA DE CAIXILHOS METÁLICOS C/TRANSP.</t>
  </si>
  <si>
    <t>PT</t>
  </si>
  <si>
    <t>MASSA ÚNICA</t>
  </si>
  <si>
    <t>CHAPISCO INTERNO</t>
  </si>
  <si>
    <t>CIMENTO DESMPENADO E=2CM</t>
  </si>
  <si>
    <t>02.06.</t>
  </si>
  <si>
    <t>ESQUADRIAS DE MADEIRA</t>
  </si>
  <si>
    <t>INSTALAÇÃO DE FAIXA PODOTÁTIL L=25CM COLADA</t>
  </si>
  <si>
    <t>02.08.</t>
  </si>
  <si>
    <t>VIDROS</t>
  </si>
  <si>
    <t>02.11.</t>
  </si>
  <si>
    <t>REVESTIMENTOS INTERNOS</t>
  </si>
  <si>
    <t>PINTURA LATEX ACRÍLICO</t>
  </si>
  <si>
    <t>02.12.</t>
  </si>
  <si>
    <t>FORROS</t>
  </si>
  <si>
    <t>02.14.</t>
  </si>
  <si>
    <t>PINTURAS</t>
  </si>
  <si>
    <t>02.15.</t>
  </si>
  <si>
    <t>PISOS INTERNOS</t>
  </si>
  <si>
    <t>02.16.</t>
  </si>
  <si>
    <t>PISOS EXTERNOS</t>
  </si>
  <si>
    <t>02.18.</t>
  </si>
  <si>
    <t>INSTALAÇÕES ELÉTRICAS</t>
  </si>
  <si>
    <t>N Ag</t>
  </si>
  <si>
    <t>Nome Ag</t>
  </si>
  <si>
    <t>Tipo</t>
  </si>
  <si>
    <t>C030 - Pequenas Intervenções</t>
  </si>
  <si>
    <t>Região</t>
  </si>
  <si>
    <t>Sudeste</t>
  </si>
  <si>
    <t>Fase</t>
  </si>
  <si>
    <t>Executivo</t>
  </si>
  <si>
    <t>Revisão</t>
  </si>
  <si>
    <t>R00</t>
  </si>
  <si>
    <t>Horário Obra</t>
  </si>
  <si>
    <t>Normal</t>
  </si>
  <si>
    <t>Data Base</t>
  </si>
  <si>
    <t>Data Emissão</t>
  </si>
  <si>
    <t>Quant</t>
  </si>
  <si>
    <t>UPE</t>
  </si>
  <si>
    <t>Osasco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</si>
</sst>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0" borderId="0" xfId="0" applyFont="1"/>
    <xf numFmtId="44" fontId="0" fillId="0" borderId="0" xfId="1" applyFont="1"/>
    <xf numFmtId="44" fontId="3" fillId="0" borderId="0" xfId="0" applyNumberFormat="1" applyFont="1"/>
    <xf numFmtId="44" fontId="3" fillId="0" borderId="0" xfId="1" applyFont="1"/>
    <xf numFmtId="0" fontId="3" fillId="0" borderId="0" xfId="2" applyNumberFormat="1" applyFont="1"/>
    <xf numFmtId="0" fontId="4" fillId="4" borderId="0" xfId="0" applyFont="1" applyFill="1" applyAlignment="1">
      <alignment horizontal="center"/>
    </xf>
    <xf numFmtId="0" fontId="0" fillId="4" borderId="0" xfId="0" applyFill="1"/>
    <xf numFmtId="14" fontId="0" fillId="0" borderId="0" xfId="0" applyNumberFormat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tabSelected="1" workbookViewId="0">
      <selection activeCell="B7" sqref="B7"/>
    </sheetView>
  </sheetViews>
  <sheetFormatPr defaultRowHeight="14.4" x14ac:dyDescent="0.3"/>
  <cols>
    <col min="2" max="2" width="48.5546875" customWidth="1"/>
    <col min="7" max="7" width="15.21875" customWidth="1"/>
    <col min="8" max="8" width="10.5546875" bestFit="1" customWidth="1"/>
  </cols>
  <sheetData>
    <row r="1" spans="1:13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3" s="12" customFormat="1" ht="7.8" customHeight="1" x14ac:dyDescent="0.3">
      <c r="A2" s="11"/>
      <c r="B2" s="11"/>
      <c r="C2" s="11"/>
      <c r="D2" s="11"/>
      <c r="E2" s="11"/>
      <c r="F2" s="11"/>
      <c r="G2" s="11"/>
      <c r="H2" s="11"/>
    </row>
    <row r="3" spans="1:13" x14ac:dyDescent="0.3">
      <c r="A3" s="14" t="s">
        <v>1</v>
      </c>
      <c r="B3" s="14"/>
      <c r="C3" s="14"/>
      <c r="D3" s="14"/>
      <c r="E3" s="14"/>
      <c r="F3" s="14"/>
      <c r="G3" s="14"/>
      <c r="H3" s="14"/>
    </row>
    <row r="5" spans="1:13" x14ac:dyDescent="0.3">
      <c r="A5" t="s">
        <v>49</v>
      </c>
      <c r="B5">
        <v>1</v>
      </c>
      <c r="D5" t="s">
        <v>53</v>
      </c>
      <c r="E5" t="s">
        <v>54</v>
      </c>
      <c r="G5" t="s">
        <v>59</v>
      </c>
      <c r="H5" t="s">
        <v>60</v>
      </c>
      <c r="L5" t="s">
        <v>64</v>
      </c>
      <c r="M5">
        <v>188292</v>
      </c>
    </row>
    <row r="6" spans="1:13" x14ac:dyDescent="0.3">
      <c r="A6" t="s">
        <v>50</v>
      </c>
      <c r="B6" t="s">
        <v>65</v>
      </c>
      <c r="D6" t="s">
        <v>55</v>
      </c>
      <c r="E6" t="s">
        <v>56</v>
      </c>
      <c r="G6" t="s">
        <v>61</v>
      </c>
      <c r="H6" s="13">
        <v>45931</v>
      </c>
    </row>
    <row r="7" spans="1:13" x14ac:dyDescent="0.3">
      <c r="A7" t="s">
        <v>51</v>
      </c>
      <c r="B7" t="s">
        <v>52</v>
      </c>
      <c r="D7" t="s">
        <v>57</v>
      </c>
      <c r="E7" t="s">
        <v>58</v>
      </c>
      <c r="G7" t="s">
        <v>62</v>
      </c>
      <c r="H7" s="13">
        <v>45962</v>
      </c>
    </row>
  </sheetData>
  <mergeCells count="2">
    <mergeCell ref="A3:H3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workbookViewId="0">
      <selection activeCell="D5" sqref="D5:D6"/>
    </sheetView>
  </sheetViews>
  <sheetFormatPr defaultRowHeight="14.4" x14ac:dyDescent="0.3"/>
  <cols>
    <col min="1" max="1" width="9.109375" style="1" bestFit="1" customWidth="1"/>
    <col min="2" max="2" width="50.88671875" style="1" bestFit="1" customWidth="1"/>
    <col min="3" max="3" width="3.6640625" style="1" bestFit="1" customWidth="1"/>
    <col min="4" max="4" width="6.5546875" style="1" bestFit="1" customWidth="1"/>
    <col min="5" max="5" width="10.33203125" style="1" bestFit="1" customWidth="1"/>
    <col min="6" max="6" width="8.44140625" style="1" customWidth="1"/>
    <col min="7" max="7" width="14.109375" style="1" bestFit="1" customWidth="1"/>
    <col min="8" max="8" width="12" style="1" bestFit="1" customWidth="1"/>
    <col min="9" max="9" width="4.33203125" style="1" bestFit="1" customWidth="1"/>
  </cols>
  <sheetData>
    <row r="1" spans="1:9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ht="7.2" customHeight="1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3">
      <c r="A3" s="15" t="s">
        <v>1</v>
      </c>
      <c r="B3" s="15"/>
      <c r="C3" s="15"/>
      <c r="D3" s="15"/>
      <c r="E3" s="15"/>
      <c r="F3" s="15"/>
      <c r="G3" s="15"/>
      <c r="H3" s="15"/>
      <c r="I3" s="15"/>
    </row>
    <row r="4" spans="1:9" ht="6.6" customHeight="1" x14ac:dyDescent="0.3"/>
    <row r="5" spans="1:9" x14ac:dyDescent="0.3">
      <c r="A5" s="16" t="s">
        <v>2</v>
      </c>
      <c r="B5" s="16" t="s">
        <v>3</v>
      </c>
      <c r="C5" s="16" t="s">
        <v>4</v>
      </c>
      <c r="D5" s="16" t="s">
        <v>63</v>
      </c>
      <c r="E5" s="17" t="s">
        <v>12</v>
      </c>
      <c r="F5" s="17"/>
      <c r="G5" s="16" t="s">
        <v>7</v>
      </c>
      <c r="H5" s="16" t="s">
        <v>8</v>
      </c>
    </row>
    <row r="6" spans="1:9" x14ac:dyDescent="0.3">
      <c r="A6" s="16"/>
      <c r="B6" s="16"/>
      <c r="C6" s="16"/>
      <c r="D6" s="16"/>
      <c r="E6" s="3" t="s">
        <v>5</v>
      </c>
      <c r="F6" s="3" t="s">
        <v>6</v>
      </c>
      <c r="G6" s="16"/>
      <c r="H6" s="16"/>
    </row>
    <row r="8" spans="1:9" x14ac:dyDescent="0.3">
      <c r="A8" s="4"/>
      <c r="B8" s="4"/>
      <c r="C8" s="4"/>
      <c r="D8" s="4"/>
      <c r="E8" s="4"/>
      <c r="F8" s="4"/>
      <c r="G8" s="3">
        <v>69368.350000000006</v>
      </c>
      <c r="H8" s="3">
        <v>100</v>
      </c>
      <c r="I8" s="5" t="s">
        <v>9</v>
      </c>
    </row>
    <row r="10" spans="1:9" x14ac:dyDescent="0.3">
      <c r="A10" s="6" t="s">
        <v>13</v>
      </c>
      <c r="B10" s="6" t="s">
        <v>14</v>
      </c>
      <c r="C10"/>
      <c r="D10"/>
      <c r="E10"/>
      <c r="F10"/>
      <c r="G10" s="8">
        <f>SUM(G11:G25)</f>
        <v>247866.36</v>
      </c>
      <c r="H10" s="6">
        <f>SUM(H11:H25)</f>
        <v>79.269999999999982</v>
      </c>
    </row>
    <row r="11" spans="1:9" x14ac:dyDescent="0.3">
      <c r="A11"/>
      <c r="B11" t="s">
        <v>15</v>
      </c>
      <c r="C11" t="s">
        <v>10</v>
      </c>
      <c r="D11">
        <v>44.75</v>
      </c>
      <c r="E11" s="7">
        <v>154.49</v>
      </c>
      <c r="F11">
        <v>1.3</v>
      </c>
      <c r="G11" s="7">
        <v>8987.4599999999991</v>
      </c>
      <c r="H11">
        <v>1.76</v>
      </c>
    </row>
    <row r="12" spans="1:9" x14ac:dyDescent="0.3">
      <c r="A12"/>
      <c r="B12" t="s">
        <v>15</v>
      </c>
      <c r="C12" t="s">
        <v>10</v>
      </c>
      <c r="D12">
        <v>35.840000000000003</v>
      </c>
      <c r="E12" s="7">
        <v>28.75</v>
      </c>
      <c r="F12">
        <v>1.3</v>
      </c>
      <c r="G12" s="7">
        <v>1339.52</v>
      </c>
      <c r="H12">
        <v>1.21</v>
      </c>
    </row>
    <row r="13" spans="1:9" x14ac:dyDescent="0.3">
      <c r="A13"/>
      <c r="B13" t="s">
        <v>16</v>
      </c>
      <c r="C13" t="s">
        <v>10</v>
      </c>
      <c r="D13">
        <v>34.11</v>
      </c>
      <c r="E13" s="7">
        <v>432.45</v>
      </c>
      <c r="F13">
        <v>1.3</v>
      </c>
      <c r="G13" s="7">
        <v>19176.13</v>
      </c>
      <c r="H13">
        <v>8.4499999999999993</v>
      </c>
    </row>
    <row r="14" spans="1:9" x14ac:dyDescent="0.3">
      <c r="A14"/>
      <c r="B14" t="s">
        <v>17</v>
      </c>
      <c r="C14" t="s">
        <v>18</v>
      </c>
      <c r="D14">
        <v>27.5</v>
      </c>
      <c r="E14" s="7">
        <v>174.13</v>
      </c>
      <c r="F14">
        <v>1.3</v>
      </c>
      <c r="G14" s="7">
        <v>6225.15</v>
      </c>
      <c r="H14">
        <v>10.44</v>
      </c>
    </row>
    <row r="15" spans="1:9" x14ac:dyDescent="0.3">
      <c r="A15"/>
      <c r="B15" t="s">
        <v>19</v>
      </c>
      <c r="C15" t="s">
        <v>18</v>
      </c>
      <c r="D15">
        <v>42.19</v>
      </c>
      <c r="E15" s="7">
        <v>210.75</v>
      </c>
      <c r="F15">
        <v>1.3</v>
      </c>
      <c r="G15" s="7">
        <v>11559.01</v>
      </c>
      <c r="H15">
        <v>1.95</v>
      </c>
    </row>
    <row r="16" spans="1:9" x14ac:dyDescent="0.3">
      <c r="A16"/>
      <c r="B16" t="s">
        <v>19</v>
      </c>
      <c r="C16" t="s">
        <v>11</v>
      </c>
      <c r="D16">
        <v>7.03</v>
      </c>
      <c r="E16" s="7">
        <v>234.16</v>
      </c>
      <c r="F16">
        <v>1.3</v>
      </c>
      <c r="G16" s="7">
        <v>2139.9899999999998</v>
      </c>
      <c r="H16">
        <v>4.37</v>
      </c>
    </row>
    <row r="17" spans="1:8" x14ac:dyDescent="0.3">
      <c r="A17"/>
      <c r="B17" t="s">
        <v>20</v>
      </c>
      <c r="C17" t="s">
        <v>11</v>
      </c>
      <c r="D17">
        <v>48.62</v>
      </c>
      <c r="E17" s="7">
        <v>440.54</v>
      </c>
      <c r="F17">
        <v>1.3</v>
      </c>
      <c r="G17" s="7">
        <v>27844.77</v>
      </c>
      <c r="H17">
        <v>6.48</v>
      </c>
    </row>
    <row r="18" spans="1:8" x14ac:dyDescent="0.3">
      <c r="A18"/>
      <c r="B18" t="s">
        <v>17</v>
      </c>
      <c r="C18" t="s">
        <v>10</v>
      </c>
      <c r="D18">
        <v>33.57</v>
      </c>
      <c r="E18" s="7">
        <v>499.35</v>
      </c>
      <c r="F18">
        <v>1.3</v>
      </c>
      <c r="G18" s="7">
        <v>21792.13</v>
      </c>
      <c r="H18">
        <v>7.46</v>
      </c>
    </row>
    <row r="19" spans="1:8" x14ac:dyDescent="0.3">
      <c r="A19"/>
      <c r="B19" t="s">
        <v>21</v>
      </c>
      <c r="C19" t="s">
        <v>11</v>
      </c>
      <c r="D19">
        <v>35.06</v>
      </c>
      <c r="E19" s="7">
        <v>425.7</v>
      </c>
      <c r="F19">
        <v>1.3</v>
      </c>
      <c r="G19" s="7">
        <v>19402.55</v>
      </c>
      <c r="H19">
        <v>0.65</v>
      </c>
    </row>
    <row r="20" spans="1:8" x14ac:dyDescent="0.3">
      <c r="A20"/>
      <c r="B20" t="s">
        <v>16</v>
      </c>
      <c r="C20" t="s">
        <v>11</v>
      </c>
      <c r="D20">
        <v>59.13</v>
      </c>
      <c r="E20" s="7">
        <v>514.64</v>
      </c>
      <c r="F20">
        <v>1.3</v>
      </c>
      <c r="G20" s="7">
        <v>39559.86</v>
      </c>
      <c r="H20">
        <v>10.41</v>
      </c>
    </row>
    <row r="21" spans="1:8" x14ac:dyDescent="0.3">
      <c r="A21"/>
      <c r="B21" t="s">
        <v>17</v>
      </c>
      <c r="C21" t="s">
        <v>11</v>
      </c>
      <c r="D21">
        <v>27.75</v>
      </c>
      <c r="E21" s="7">
        <v>502.13</v>
      </c>
      <c r="F21">
        <v>1.3</v>
      </c>
      <c r="G21" s="7">
        <v>18114.34</v>
      </c>
      <c r="H21">
        <v>2.04</v>
      </c>
    </row>
    <row r="22" spans="1:8" x14ac:dyDescent="0.3">
      <c r="A22"/>
      <c r="B22" t="s">
        <v>20</v>
      </c>
      <c r="C22" t="s">
        <v>18</v>
      </c>
      <c r="D22">
        <v>40.54</v>
      </c>
      <c r="E22" s="7">
        <v>424.07</v>
      </c>
      <c r="F22">
        <v>1.3</v>
      </c>
      <c r="G22" s="7">
        <v>22349.34</v>
      </c>
      <c r="H22">
        <v>8.23</v>
      </c>
    </row>
    <row r="23" spans="1:8" x14ac:dyDescent="0.3">
      <c r="A23"/>
      <c r="B23" t="s">
        <v>15</v>
      </c>
      <c r="C23" t="s">
        <v>18</v>
      </c>
      <c r="D23">
        <v>32.51</v>
      </c>
      <c r="E23" s="7">
        <v>154.44</v>
      </c>
      <c r="F23">
        <v>1.3</v>
      </c>
      <c r="G23" s="7">
        <v>6527.1</v>
      </c>
      <c r="H23">
        <v>5.6</v>
      </c>
    </row>
    <row r="24" spans="1:8" x14ac:dyDescent="0.3">
      <c r="A24"/>
      <c r="B24" t="s">
        <v>22</v>
      </c>
      <c r="C24" t="s">
        <v>18</v>
      </c>
      <c r="D24">
        <v>41.39</v>
      </c>
      <c r="E24" s="7">
        <v>507.28</v>
      </c>
      <c r="F24">
        <v>1.3</v>
      </c>
      <c r="G24" s="7">
        <v>27295.21</v>
      </c>
      <c r="H24">
        <v>9.33</v>
      </c>
    </row>
    <row r="25" spans="1:8" x14ac:dyDescent="0.3">
      <c r="A25"/>
      <c r="B25" t="s">
        <v>16</v>
      </c>
      <c r="C25" t="s">
        <v>10</v>
      </c>
      <c r="D25">
        <v>48.5</v>
      </c>
      <c r="E25" s="7">
        <v>246.69</v>
      </c>
      <c r="F25">
        <v>1.3</v>
      </c>
      <c r="G25" s="7">
        <v>15553.8</v>
      </c>
      <c r="H25">
        <v>0.89</v>
      </c>
    </row>
    <row r="26" spans="1:8" x14ac:dyDescent="0.3">
      <c r="A26" s="6" t="s">
        <v>23</v>
      </c>
      <c r="B26" s="6" t="s">
        <v>24</v>
      </c>
      <c r="C26"/>
      <c r="D26"/>
      <c r="E26" s="7"/>
      <c r="F26"/>
      <c r="G26" s="9">
        <f>SUM(G27:G40)</f>
        <v>187499.92</v>
      </c>
      <c r="H26" s="10">
        <f>SUM(H27:H40)</f>
        <v>77.11</v>
      </c>
    </row>
    <row r="27" spans="1:8" x14ac:dyDescent="0.3">
      <c r="A27"/>
      <c r="B27" t="s">
        <v>25</v>
      </c>
      <c r="C27" t="s">
        <v>11</v>
      </c>
      <c r="D27">
        <v>13.54</v>
      </c>
      <c r="E27" s="7">
        <v>304.55</v>
      </c>
      <c r="F27">
        <v>1.3</v>
      </c>
      <c r="G27" s="7">
        <v>5360.69</v>
      </c>
      <c r="H27">
        <v>10.63</v>
      </c>
    </row>
    <row r="28" spans="1:8" x14ac:dyDescent="0.3">
      <c r="A28"/>
      <c r="B28" t="s">
        <v>26</v>
      </c>
      <c r="C28" t="s">
        <v>27</v>
      </c>
      <c r="D28">
        <v>9.43</v>
      </c>
      <c r="E28" s="7">
        <v>92.38</v>
      </c>
      <c r="F28">
        <v>1.3</v>
      </c>
      <c r="G28" s="7">
        <v>1132.49</v>
      </c>
      <c r="H28">
        <v>8.9700000000000006</v>
      </c>
    </row>
    <row r="29" spans="1:8" x14ac:dyDescent="0.3">
      <c r="A29"/>
      <c r="B29" t="s">
        <v>28</v>
      </c>
      <c r="C29" t="s">
        <v>11</v>
      </c>
      <c r="D29">
        <v>45.07</v>
      </c>
      <c r="E29" s="7">
        <v>262.77999999999997</v>
      </c>
      <c r="F29">
        <v>1.3</v>
      </c>
      <c r="G29" s="7">
        <v>15396.54</v>
      </c>
      <c r="H29">
        <v>7.04</v>
      </c>
    </row>
    <row r="30" spans="1:8" x14ac:dyDescent="0.3">
      <c r="A30"/>
      <c r="B30" t="s">
        <v>20</v>
      </c>
      <c r="C30" t="s">
        <v>18</v>
      </c>
      <c r="D30">
        <v>59.84</v>
      </c>
      <c r="E30" s="7">
        <v>91.62</v>
      </c>
      <c r="F30">
        <v>1.3</v>
      </c>
      <c r="G30" s="7">
        <v>7127.3</v>
      </c>
      <c r="H30">
        <v>5.97</v>
      </c>
    </row>
    <row r="31" spans="1:8" x14ac:dyDescent="0.3">
      <c r="A31"/>
      <c r="B31" t="s">
        <v>19</v>
      </c>
      <c r="C31" t="s">
        <v>10</v>
      </c>
      <c r="D31">
        <v>51.81</v>
      </c>
      <c r="E31" s="7">
        <v>100.18</v>
      </c>
      <c r="F31">
        <v>1.3</v>
      </c>
      <c r="G31" s="7">
        <v>6747.42</v>
      </c>
      <c r="H31">
        <v>2</v>
      </c>
    </row>
    <row r="32" spans="1:8" x14ac:dyDescent="0.3">
      <c r="A32"/>
      <c r="B32" t="s">
        <v>26</v>
      </c>
      <c r="C32" t="s">
        <v>27</v>
      </c>
      <c r="D32">
        <v>36.19</v>
      </c>
      <c r="E32" s="7">
        <v>237.01</v>
      </c>
      <c r="F32">
        <v>1.3</v>
      </c>
      <c r="G32" s="7">
        <v>11150.61</v>
      </c>
      <c r="H32">
        <v>7.19</v>
      </c>
    </row>
    <row r="33" spans="1:8" x14ac:dyDescent="0.3">
      <c r="A33"/>
      <c r="B33" t="s">
        <v>29</v>
      </c>
      <c r="C33" t="s">
        <v>11</v>
      </c>
      <c r="D33">
        <v>58.29</v>
      </c>
      <c r="E33" s="7">
        <v>517.86</v>
      </c>
      <c r="F33">
        <v>1.3</v>
      </c>
      <c r="G33" s="7">
        <v>39241.879999999997</v>
      </c>
      <c r="H33">
        <v>0.24</v>
      </c>
    </row>
    <row r="34" spans="1:8" x14ac:dyDescent="0.3">
      <c r="A34"/>
      <c r="B34" t="s">
        <v>25</v>
      </c>
      <c r="C34" t="s">
        <v>10</v>
      </c>
      <c r="D34">
        <v>41.22</v>
      </c>
      <c r="E34" s="7">
        <v>326.81</v>
      </c>
      <c r="F34">
        <v>1.3</v>
      </c>
      <c r="G34" s="7">
        <v>17512.439999999999</v>
      </c>
      <c r="H34">
        <v>3.28</v>
      </c>
    </row>
    <row r="35" spans="1:8" x14ac:dyDescent="0.3">
      <c r="A35"/>
      <c r="B35" t="s">
        <v>26</v>
      </c>
      <c r="C35" t="s">
        <v>11</v>
      </c>
      <c r="D35">
        <v>7.58</v>
      </c>
      <c r="E35" s="7">
        <v>266.51</v>
      </c>
      <c r="F35">
        <v>1.3</v>
      </c>
      <c r="G35" s="7">
        <v>2626.19</v>
      </c>
      <c r="H35">
        <v>5.5</v>
      </c>
    </row>
    <row r="36" spans="1:8" x14ac:dyDescent="0.3">
      <c r="A36"/>
      <c r="B36" t="s">
        <v>25</v>
      </c>
      <c r="C36" t="s">
        <v>11</v>
      </c>
      <c r="D36">
        <v>58.34</v>
      </c>
      <c r="E36" s="7">
        <v>459.56</v>
      </c>
      <c r="F36">
        <v>1.3</v>
      </c>
      <c r="G36" s="7">
        <v>34853.949999999997</v>
      </c>
      <c r="H36">
        <v>6.14</v>
      </c>
    </row>
    <row r="37" spans="1:8" x14ac:dyDescent="0.3">
      <c r="A37"/>
      <c r="B37" t="s">
        <v>15</v>
      </c>
      <c r="C37" t="s">
        <v>11</v>
      </c>
      <c r="D37">
        <v>50.66</v>
      </c>
      <c r="E37" s="7">
        <v>309.52</v>
      </c>
      <c r="F37">
        <v>1.3</v>
      </c>
      <c r="G37" s="7">
        <v>20384.37</v>
      </c>
      <c r="H37">
        <v>2.4700000000000002</v>
      </c>
    </row>
    <row r="38" spans="1:8" x14ac:dyDescent="0.3">
      <c r="A38"/>
      <c r="B38" t="s">
        <v>20</v>
      </c>
      <c r="C38" t="s">
        <v>18</v>
      </c>
      <c r="D38">
        <v>32.82</v>
      </c>
      <c r="E38" s="7">
        <v>469.39</v>
      </c>
      <c r="F38">
        <v>1.3</v>
      </c>
      <c r="G38" s="7">
        <v>20026.990000000002</v>
      </c>
      <c r="H38">
        <v>6.41</v>
      </c>
    </row>
    <row r="39" spans="1:8" x14ac:dyDescent="0.3">
      <c r="A39"/>
      <c r="B39" t="s">
        <v>30</v>
      </c>
      <c r="C39" t="s">
        <v>11</v>
      </c>
      <c r="D39">
        <v>29.83</v>
      </c>
      <c r="E39" s="7">
        <v>76</v>
      </c>
      <c r="F39">
        <v>1.3</v>
      </c>
      <c r="G39" s="7">
        <v>2947.2</v>
      </c>
      <c r="H39">
        <v>4.42</v>
      </c>
    </row>
    <row r="40" spans="1:8" x14ac:dyDescent="0.3">
      <c r="A40"/>
      <c r="B40" t="s">
        <v>21</v>
      </c>
      <c r="C40" t="s">
        <v>11</v>
      </c>
      <c r="D40">
        <v>15.13</v>
      </c>
      <c r="E40" s="7">
        <v>152.11000000000001</v>
      </c>
      <c r="F40">
        <v>1.3</v>
      </c>
      <c r="G40" s="7">
        <v>2991.85</v>
      </c>
      <c r="H40">
        <v>6.85</v>
      </c>
    </row>
    <row r="41" spans="1:8" x14ac:dyDescent="0.3">
      <c r="A41" s="6" t="s">
        <v>31</v>
      </c>
      <c r="B41" s="6" t="s">
        <v>32</v>
      </c>
      <c r="C41"/>
      <c r="D41"/>
      <c r="E41" s="7"/>
      <c r="F41"/>
      <c r="G41" s="9">
        <f>SUM(G42:G47)</f>
        <v>143178.68</v>
      </c>
      <c r="H41" s="6">
        <f>SUM(H42:H47)</f>
        <v>35.840000000000003</v>
      </c>
    </row>
    <row r="42" spans="1:8" x14ac:dyDescent="0.3">
      <c r="A42"/>
      <c r="B42" t="s">
        <v>15</v>
      </c>
      <c r="C42" t="s">
        <v>27</v>
      </c>
      <c r="D42">
        <v>49.15</v>
      </c>
      <c r="E42" s="7">
        <v>587.01</v>
      </c>
      <c r="F42">
        <v>1.3</v>
      </c>
      <c r="G42" s="7">
        <v>37507</v>
      </c>
      <c r="H42">
        <v>6.44</v>
      </c>
    </row>
    <row r="43" spans="1:8" x14ac:dyDescent="0.3">
      <c r="A43"/>
      <c r="B43" t="s">
        <v>33</v>
      </c>
      <c r="C43" t="s">
        <v>18</v>
      </c>
      <c r="D43">
        <v>39.93</v>
      </c>
      <c r="E43" s="7">
        <v>568.64</v>
      </c>
      <c r="F43">
        <v>1.3</v>
      </c>
      <c r="G43" s="7">
        <v>29517.53</v>
      </c>
      <c r="H43">
        <v>2.0699999999999998</v>
      </c>
    </row>
    <row r="44" spans="1:8" x14ac:dyDescent="0.3">
      <c r="A44"/>
      <c r="B44" t="s">
        <v>28</v>
      </c>
      <c r="C44" t="s">
        <v>27</v>
      </c>
      <c r="D44">
        <v>57.9</v>
      </c>
      <c r="E44" s="7">
        <v>558.05999999999995</v>
      </c>
      <c r="F44">
        <v>1.3</v>
      </c>
      <c r="G44" s="7">
        <v>42005.18</v>
      </c>
      <c r="H44">
        <v>9.09</v>
      </c>
    </row>
    <row r="45" spans="1:8" x14ac:dyDescent="0.3">
      <c r="A45"/>
      <c r="B45" t="s">
        <v>25</v>
      </c>
      <c r="C45" t="s">
        <v>18</v>
      </c>
      <c r="D45">
        <v>43.06</v>
      </c>
      <c r="E45" s="7">
        <v>245.41</v>
      </c>
      <c r="F45">
        <v>1.3</v>
      </c>
      <c r="G45" s="7">
        <v>13737.56</v>
      </c>
      <c r="H45">
        <v>8.09</v>
      </c>
    </row>
    <row r="46" spans="1:8" x14ac:dyDescent="0.3">
      <c r="A46"/>
      <c r="B46" t="s">
        <v>20</v>
      </c>
      <c r="C46" t="s">
        <v>27</v>
      </c>
      <c r="D46">
        <v>54.08</v>
      </c>
      <c r="E46" s="7">
        <v>276.38</v>
      </c>
      <c r="F46">
        <v>1.3</v>
      </c>
      <c r="G46" s="7">
        <v>19430.62</v>
      </c>
      <c r="H46">
        <v>3.05</v>
      </c>
    </row>
    <row r="47" spans="1:8" x14ac:dyDescent="0.3">
      <c r="A47"/>
      <c r="B47" t="s">
        <v>15</v>
      </c>
      <c r="C47" t="s">
        <v>11</v>
      </c>
      <c r="D47">
        <v>2.2400000000000002</v>
      </c>
      <c r="E47" s="7">
        <v>336.81</v>
      </c>
      <c r="F47">
        <v>1.3</v>
      </c>
      <c r="G47" s="7">
        <v>980.79</v>
      </c>
      <c r="H47">
        <v>7.1</v>
      </c>
    </row>
    <row r="48" spans="1:8" x14ac:dyDescent="0.3">
      <c r="A48" s="6" t="s">
        <v>34</v>
      </c>
      <c r="B48" s="6" t="s">
        <v>35</v>
      </c>
      <c r="C48"/>
      <c r="D48"/>
      <c r="E48" s="7"/>
      <c r="F48"/>
      <c r="G48" s="9">
        <f>SUM(G49:G53)</f>
        <v>65376.149999999994</v>
      </c>
      <c r="H48" s="6">
        <f>SUM(H49:H53)</f>
        <v>28.05</v>
      </c>
    </row>
    <row r="49" spans="1:8" x14ac:dyDescent="0.3">
      <c r="A49"/>
      <c r="B49" t="s">
        <v>15</v>
      </c>
      <c r="C49" t="s">
        <v>10</v>
      </c>
      <c r="D49">
        <v>14.51</v>
      </c>
      <c r="E49" s="7">
        <v>544.20000000000005</v>
      </c>
      <c r="F49">
        <v>1.3</v>
      </c>
      <c r="G49" s="7">
        <v>10265.24</v>
      </c>
      <c r="H49">
        <v>10.33</v>
      </c>
    </row>
    <row r="50" spans="1:8" x14ac:dyDescent="0.3">
      <c r="A50"/>
      <c r="B50" t="s">
        <v>15</v>
      </c>
      <c r="C50" t="s">
        <v>18</v>
      </c>
      <c r="D50">
        <v>17.43</v>
      </c>
      <c r="E50" s="7">
        <v>296.39</v>
      </c>
      <c r="F50">
        <v>1.3</v>
      </c>
      <c r="G50" s="7">
        <v>6715.9</v>
      </c>
      <c r="H50">
        <v>6.52</v>
      </c>
    </row>
    <row r="51" spans="1:8" x14ac:dyDescent="0.3">
      <c r="A51"/>
      <c r="B51" t="s">
        <v>25</v>
      </c>
      <c r="C51" t="s">
        <v>27</v>
      </c>
      <c r="D51">
        <v>15.34</v>
      </c>
      <c r="E51" s="7">
        <v>289.05</v>
      </c>
      <c r="F51">
        <v>1.3</v>
      </c>
      <c r="G51" s="7">
        <v>5764.24</v>
      </c>
      <c r="H51">
        <v>4.9400000000000004</v>
      </c>
    </row>
    <row r="52" spans="1:8" x14ac:dyDescent="0.3">
      <c r="A52"/>
      <c r="B52" t="s">
        <v>15</v>
      </c>
      <c r="C52" t="s">
        <v>10</v>
      </c>
      <c r="D52">
        <v>39.880000000000003</v>
      </c>
      <c r="E52" s="7">
        <v>219.04</v>
      </c>
      <c r="F52">
        <v>1.3</v>
      </c>
      <c r="G52" s="7">
        <v>11355.91</v>
      </c>
      <c r="H52">
        <v>4.99</v>
      </c>
    </row>
    <row r="53" spans="1:8" x14ac:dyDescent="0.3">
      <c r="A53"/>
      <c r="B53" t="s">
        <v>21</v>
      </c>
      <c r="C53" t="s">
        <v>10</v>
      </c>
      <c r="D53">
        <v>40.729999999999997</v>
      </c>
      <c r="E53" s="7">
        <v>590.66</v>
      </c>
      <c r="F53">
        <v>1.3</v>
      </c>
      <c r="G53" s="7">
        <v>31274.86</v>
      </c>
      <c r="H53">
        <v>1.27</v>
      </c>
    </row>
    <row r="54" spans="1:8" x14ac:dyDescent="0.3">
      <c r="A54" s="6" t="s">
        <v>36</v>
      </c>
      <c r="B54" s="6" t="s">
        <v>37</v>
      </c>
      <c r="C54"/>
      <c r="D54"/>
      <c r="E54" s="7"/>
      <c r="F54"/>
      <c r="G54" s="9">
        <f>SUM(G55:G65)</f>
        <v>114083.18</v>
      </c>
      <c r="H54" s="6">
        <f>SUM(H55:H65)</f>
        <v>72.2</v>
      </c>
    </row>
    <row r="55" spans="1:8" x14ac:dyDescent="0.3">
      <c r="A55"/>
      <c r="B55" t="s">
        <v>25</v>
      </c>
      <c r="C55" t="s">
        <v>11</v>
      </c>
      <c r="D55">
        <v>48.23</v>
      </c>
      <c r="E55" s="7">
        <v>74.47</v>
      </c>
      <c r="F55">
        <v>1.3</v>
      </c>
      <c r="G55" s="7">
        <v>4669.1899999999996</v>
      </c>
      <c r="H55">
        <v>2.38</v>
      </c>
    </row>
    <row r="56" spans="1:8" x14ac:dyDescent="0.3">
      <c r="A56"/>
      <c r="B56" t="s">
        <v>28</v>
      </c>
      <c r="C56" t="s">
        <v>27</v>
      </c>
      <c r="D56">
        <v>9.27</v>
      </c>
      <c r="E56" s="7">
        <v>118.26</v>
      </c>
      <c r="F56">
        <v>1.3</v>
      </c>
      <c r="G56" s="7">
        <v>1425.15</v>
      </c>
      <c r="H56">
        <v>5.61</v>
      </c>
    </row>
    <row r="57" spans="1:8" x14ac:dyDescent="0.3">
      <c r="A57"/>
      <c r="B57" t="s">
        <v>21</v>
      </c>
      <c r="C57" t="s">
        <v>10</v>
      </c>
      <c r="D57">
        <v>27.14</v>
      </c>
      <c r="E57" s="7">
        <v>518.20000000000005</v>
      </c>
      <c r="F57">
        <v>1.3</v>
      </c>
      <c r="G57" s="7">
        <v>18283.13</v>
      </c>
      <c r="H57">
        <v>6.65</v>
      </c>
    </row>
    <row r="58" spans="1:8" x14ac:dyDescent="0.3">
      <c r="A58"/>
      <c r="B58" t="s">
        <v>30</v>
      </c>
      <c r="C58" t="s">
        <v>10</v>
      </c>
      <c r="D58">
        <v>58.17</v>
      </c>
      <c r="E58" s="7">
        <v>556.55999999999995</v>
      </c>
      <c r="F58">
        <v>1.3</v>
      </c>
      <c r="G58" s="7">
        <v>42087.62</v>
      </c>
      <c r="H58">
        <v>10.199999999999999</v>
      </c>
    </row>
    <row r="59" spans="1:8" x14ac:dyDescent="0.3">
      <c r="A59"/>
      <c r="B59" t="s">
        <v>33</v>
      </c>
      <c r="C59" t="s">
        <v>27</v>
      </c>
      <c r="D59">
        <v>29.65</v>
      </c>
      <c r="E59" s="7">
        <v>136.11000000000001</v>
      </c>
      <c r="F59">
        <v>1.3</v>
      </c>
      <c r="G59" s="7">
        <v>5246.36</v>
      </c>
      <c r="H59">
        <v>4.87</v>
      </c>
    </row>
    <row r="60" spans="1:8" x14ac:dyDescent="0.3">
      <c r="A60"/>
      <c r="B60" t="s">
        <v>30</v>
      </c>
      <c r="C60" t="s">
        <v>18</v>
      </c>
      <c r="D60">
        <v>23.36</v>
      </c>
      <c r="E60" s="7">
        <v>591.33000000000004</v>
      </c>
      <c r="F60">
        <v>1.3</v>
      </c>
      <c r="G60" s="7">
        <v>17957.509999999998</v>
      </c>
      <c r="H60">
        <v>3.26</v>
      </c>
    </row>
    <row r="61" spans="1:8" x14ac:dyDescent="0.3">
      <c r="A61"/>
      <c r="B61" t="s">
        <v>19</v>
      </c>
      <c r="C61" t="s">
        <v>27</v>
      </c>
      <c r="D61">
        <v>17.829999999999998</v>
      </c>
      <c r="E61" s="7">
        <v>420.99</v>
      </c>
      <c r="F61">
        <v>1.3</v>
      </c>
      <c r="G61" s="7">
        <v>9758.1299999999992</v>
      </c>
      <c r="H61">
        <v>8.7899999999999991</v>
      </c>
    </row>
    <row r="62" spans="1:8" x14ac:dyDescent="0.3">
      <c r="A62"/>
      <c r="B62" t="s">
        <v>19</v>
      </c>
      <c r="C62" t="s">
        <v>27</v>
      </c>
      <c r="D62">
        <v>10.130000000000001</v>
      </c>
      <c r="E62" s="7">
        <v>185.06</v>
      </c>
      <c r="F62">
        <v>1.3</v>
      </c>
      <c r="G62" s="7">
        <v>2437.06</v>
      </c>
      <c r="H62">
        <v>11.63</v>
      </c>
    </row>
    <row r="63" spans="1:8" x14ac:dyDescent="0.3">
      <c r="A63"/>
      <c r="B63" t="s">
        <v>38</v>
      </c>
      <c r="C63" t="s">
        <v>10</v>
      </c>
      <c r="D63">
        <v>45.13</v>
      </c>
      <c r="E63" s="7">
        <v>43.73</v>
      </c>
      <c r="F63">
        <v>1.3</v>
      </c>
      <c r="G63" s="7">
        <v>2565.6</v>
      </c>
      <c r="H63">
        <v>7.05</v>
      </c>
    </row>
    <row r="64" spans="1:8" x14ac:dyDescent="0.3">
      <c r="A64"/>
      <c r="B64" t="s">
        <v>28</v>
      </c>
      <c r="C64" t="s">
        <v>18</v>
      </c>
      <c r="D64">
        <v>4.3600000000000003</v>
      </c>
      <c r="E64" s="7">
        <v>309.62</v>
      </c>
      <c r="F64">
        <v>1.3</v>
      </c>
      <c r="G64" s="7">
        <v>1754.93</v>
      </c>
      <c r="H64">
        <v>10.23</v>
      </c>
    </row>
    <row r="65" spans="1:8" x14ac:dyDescent="0.3">
      <c r="A65"/>
      <c r="B65" t="s">
        <v>15</v>
      </c>
      <c r="C65" t="s">
        <v>10</v>
      </c>
      <c r="D65">
        <v>40.840000000000003</v>
      </c>
      <c r="E65" s="7">
        <v>148.77000000000001</v>
      </c>
      <c r="F65">
        <v>1.3</v>
      </c>
      <c r="G65" s="7">
        <v>7898.5</v>
      </c>
      <c r="H65">
        <v>1.53</v>
      </c>
    </row>
    <row r="66" spans="1:8" x14ac:dyDescent="0.3">
      <c r="A66" s="6" t="s">
        <v>39</v>
      </c>
      <c r="B66" s="6" t="s">
        <v>40</v>
      </c>
      <c r="C66"/>
      <c r="D66"/>
      <c r="E66" s="7"/>
      <c r="F66"/>
      <c r="G66" s="9">
        <f>SUM(G67:G80)</f>
        <v>159604.72</v>
      </c>
      <c r="H66" s="6">
        <f>SUM(H67:H80)</f>
        <v>79.420000000000016</v>
      </c>
    </row>
    <row r="67" spans="1:8" x14ac:dyDescent="0.3">
      <c r="A67"/>
      <c r="B67" t="s">
        <v>16</v>
      </c>
      <c r="C67" t="s">
        <v>10</v>
      </c>
      <c r="D67">
        <v>37.54</v>
      </c>
      <c r="E67" s="7">
        <v>257.33999999999997</v>
      </c>
      <c r="F67">
        <v>1.3</v>
      </c>
      <c r="G67" s="7">
        <v>12558.71</v>
      </c>
      <c r="H67">
        <v>7.05</v>
      </c>
    </row>
    <row r="68" spans="1:8" x14ac:dyDescent="0.3">
      <c r="A68"/>
      <c r="B68" t="s">
        <v>28</v>
      </c>
      <c r="C68" t="s">
        <v>11</v>
      </c>
      <c r="D68">
        <v>56.15</v>
      </c>
      <c r="E68" s="7">
        <v>130.51</v>
      </c>
      <c r="F68">
        <v>1.3</v>
      </c>
      <c r="G68" s="7">
        <v>9526.58</v>
      </c>
      <c r="H68">
        <v>8.6199999999999992</v>
      </c>
    </row>
    <row r="69" spans="1:8" x14ac:dyDescent="0.3">
      <c r="A69"/>
      <c r="B69" t="s">
        <v>16</v>
      </c>
      <c r="C69" t="s">
        <v>11</v>
      </c>
      <c r="D69">
        <v>24.35</v>
      </c>
      <c r="E69" s="7">
        <v>406.3</v>
      </c>
      <c r="F69">
        <v>1.3</v>
      </c>
      <c r="G69" s="7">
        <v>12861.43</v>
      </c>
      <c r="H69">
        <v>3.67</v>
      </c>
    </row>
    <row r="70" spans="1:8" x14ac:dyDescent="0.3">
      <c r="A70"/>
      <c r="B70" t="s">
        <v>20</v>
      </c>
      <c r="C70" t="s">
        <v>10</v>
      </c>
      <c r="D70">
        <v>1.55</v>
      </c>
      <c r="E70" s="7">
        <v>376.48</v>
      </c>
      <c r="F70">
        <v>1.3</v>
      </c>
      <c r="G70" s="7">
        <v>758.61</v>
      </c>
      <c r="H70">
        <v>6.8</v>
      </c>
    </row>
    <row r="71" spans="1:8" x14ac:dyDescent="0.3">
      <c r="A71"/>
      <c r="B71" t="s">
        <v>15</v>
      </c>
      <c r="C71" t="s">
        <v>10</v>
      </c>
      <c r="D71">
        <v>32.72</v>
      </c>
      <c r="E71" s="7">
        <v>308.47000000000003</v>
      </c>
      <c r="F71">
        <v>1.3</v>
      </c>
      <c r="G71" s="7">
        <v>13121.08</v>
      </c>
      <c r="H71">
        <v>1.68</v>
      </c>
    </row>
    <row r="72" spans="1:8" x14ac:dyDescent="0.3">
      <c r="A72"/>
      <c r="B72" t="s">
        <v>20</v>
      </c>
      <c r="C72" t="s">
        <v>10</v>
      </c>
      <c r="D72">
        <v>52.88</v>
      </c>
      <c r="E72" s="7">
        <v>228.02</v>
      </c>
      <c r="F72">
        <v>1.3</v>
      </c>
      <c r="G72" s="7">
        <v>15675.01</v>
      </c>
      <c r="H72">
        <v>1.98</v>
      </c>
    </row>
    <row r="73" spans="1:8" x14ac:dyDescent="0.3">
      <c r="A73"/>
      <c r="B73" t="s">
        <v>21</v>
      </c>
      <c r="C73" t="s">
        <v>11</v>
      </c>
      <c r="D73">
        <v>37.090000000000003</v>
      </c>
      <c r="E73" s="7">
        <v>592.47</v>
      </c>
      <c r="F73">
        <v>1.3</v>
      </c>
      <c r="G73" s="7">
        <v>28567.13</v>
      </c>
      <c r="H73">
        <v>7.88</v>
      </c>
    </row>
    <row r="74" spans="1:8" x14ac:dyDescent="0.3">
      <c r="A74"/>
      <c r="B74" t="s">
        <v>30</v>
      </c>
      <c r="C74" t="s">
        <v>11</v>
      </c>
      <c r="D74">
        <v>55.97</v>
      </c>
      <c r="E74" s="7">
        <v>71.12</v>
      </c>
      <c r="F74">
        <v>1.3</v>
      </c>
      <c r="G74" s="7">
        <v>5174.76</v>
      </c>
      <c r="H74">
        <v>10.55</v>
      </c>
    </row>
    <row r="75" spans="1:8" x14ac:dyDescent="0.3">
      <c r="A75"/>
      <c r="B75" t="s">
        <v>22</v>
      </c>
      <c r="C75" t="s">
        <v>10</v>
      </c>
      <c r="D75">
        <v>53.49</v>
      </c>
      <c r="E75" s="7">
        <v>448.03</v>
      </c>
      <c r="F75">
        <v>1.3</v>
      </c>
      <c r="G75" s="7">
        <v>31154.66</v>
      </c>
      <c r="H75">
        <v>1.95</v>
      </c>
    </row>
    <row r="76" spans="1:8" x14ac:dyDescent="0.3">
      <c r="A76"/>
      <c r="B76" t="s">
        <v>22</v>
      </c>
      <c r="C76" t="s">
        <v>18</v>
      </c>
      <c r="D76">
        <v>43.34</v>
      </c>
      <c r="E76" s="7">
        <v>130.12</v>
      </c>
      <c r="F76">
        <v>1.3</v>
      </c>
      <c r="G76" s="7">
        <v>7331.22</v>
      </c>
      <c r="H76">
        <v>7.65</v>
      </c>
    </row>
    <row r="77" spans="1:8" x14ac:dyDescent="0.3">
      <c r="A77"/>
      <c r="B77" t="s">
        <v>22</v>
      </c>
      <c r="C77" t="s">
        <v>27</v>
      </c>
      <c r="D77">
        <v>15.82</v>
      </c>
      <c r="E77" s="7">
        <v>545.80999999999995</v>
      </c>
      <c r="F77">
        <v>1.3</v>
      </c>
      <c r="G77" s="7">
        <v>11225.13</v>
      </c>
      <c r="H77">
        <v>0.7</v>
      </c>
    </row>
    <row r="78" spans="1:8" x14ac:dyDescent="0.3">
      <c r="A78"/>
      <c r="B78" t="s">
        <v>26</v>
      </c>
      <c r="C78" t="s">
        <v>27</v>
      </c>
      <c r="D78">
        <v>49.93</v>
      </c>
      <c r="E78" s="7">
        <v>36.01</v>
      </c>
      <c r="F78">
        <v>1.3</v>
      </c>
      <c r="G78" s="7">
        <v>2337.37</v>
      </c>
      <c r="H78">
        <v>4.07</v>
      </c>
    </row>
    <row r="79" spans="1:8" x14ac:dyDescent="0.3">
      <c r="A79"/>
      <c r="B79" t="s">
        <v>33</v>
      </c>
      <c r="C79" t="s">
        <v>11</v>
      </c>
      <c r="D79">
        <v>10.53</v>
      </c>
      <c r="E79" s="7">
        <v>270.68</v>
      </c>
      <c r="F79">
        <v>1.3</v>
      </c>
      <c r="G79" s="7">
        <v>3705.34</v>
      </c>
      <c r="H79">
        <v>8.5</v>
      </c>
    </row>
    <row r="80" spans="1:8" x14ac:dyDescent="0.3">
      <c r="A80"/>
      <c r="B80" t="s">
        <v>28</v>
      </c>
      <c r="C80" t="s">
        <v>10</v>
      </c>
      <c r="D80">
        <v>7.6</v>
      </c>
      <c r="E80" s="7">
        <v>567.58000000000004</v>
      </c>
      <c r="F80">
        <v>1.3</v>
      </c>
      <c r="G80" s="7">
        <v>5607.69</v>
      </c>
      <c r="H80">
        <v>8.32</v>
      </c>
    </row>
    <row r="81" spans="1:8" x14ac:dyDescent="0.3">
      <c r="A81" s="6" t="s">
        <v>41</v>
      </c>
      <c r="B81" s="6" t="s">
        <v>42</v>
      </c>
      <c r="C81"/>
      <c r="D81"/>
      <c r="E81" s="7"/>
      <c r="F81"/>
      <c r="G81" s="9">
        <f>SUM(G82:G88)</f>
        <v>123672.7</v>
      </c>
      <c r="H81" s="6">
        <f>SUM(H82:H88)</f>
        <v>40.090000000000003</v>
      </c>
    </row>
    <row r="82" spans="1:8" x14ac:dyDescent="0.3">
      <c r="A82"/>
      <c r="B82" t="s">
        <v>28</v>
      </c>
      <c r="C82" t="s">
        <v>10</v>
      </c>
      <c r="D82">
        <v>50.24</v>
      </c>
      <c r="E82" s="7">
        <v>353.68</v>
      </c>
      <c r="F82">
        <v>1.3</v>
      </c>
      <c r="G82" s="7">
        <v>23099.55</v>
      </c>
      <c r="H82">
        <v>1.86</v>
      </c>
    </row>
    <row r="83" spans="1:8" x14ac:dyDescent="0.3">
      <c r="A83"/>
      <c r="B83" t="s">
        <v>33</v>
      </c>
      <c r="C83" t="s">
        <v>10</v>
      </c>
      <c r="D83">
        <v>19.190000000000001</v>
      </c>
      <c r="E83" s="7">
        <v>540.4</v>
      </c>
      <c r="F83">
        <v>1.3</v>
      </c>
      <c r="G83" s="7">
        <v>13481.36</v>
      </c>
      <c r="H83">
        <v>9.57</v>
      </c>
    </row>
    <row r="84" spans="1:8" x14ac:dyDescent="0.3">
      <c r="A84"/>
      <c r="B84" t="s">
        <v>21</v>
      </c>
      <c r="C84" t="s">
        <v>10</v>
      </c>
      <c r="D84">
        <v>54.04</v>
      </c>
      <c r="E84" s="7">
        <v>133.94999999999999</v>
      </c>
      <c r="F84">
        <v>1.3</v>
      </c>
      <c r="G84" s="7">
        <v>9410.26</v>
      </c>
      <c r="H84">
        <v>3.07</v>
      </c>
    </row>
    <row r="85" spans="1:8" x14ac:dyDescent="0.3">
      <c r="A85"/>
      <c r="B85" t="s">
        <v>15</v>
      </c>
      <c r="C85" t="s">
        <v>11</v>
      </c>
      <c r="D85">
        <v>47.03</v>
      </c>
      <c r="E85" s="7">
        <v>531.64</v>
      </c>
      <c r="F85">
        <v>1.3</v>
      </c>
      <c r="G85" s="7">
        <v>32503.94</v>
      </c>
      <c r="H85">
        <v>4.9400000000000004</v>
      </c>
    </row>
    <row r="86" spans="1:8" x14ac:dyDescent="0.3">
      <c r="A86"/>
      <c r="B86" t="s">
        <v>38</v>
      </c>
      <c r="C86" t="s">
        <v>18</v>
      </c>
      <c r="D86">
        <v>55.62</v>
      </c>
      <c r="E86" s="7">
        <v>149.68</v>
      </c>
      <c r="F86">
        <v>1.3</v>
      </c>
      <c r="G86" s="7">
        <v>10822.76</v>
      </c>
      <c r="H86">
        <v>2.0299999999999998</v>
      </c>
    </row>
    <row r="87" spans="1:8" x14ac:dyDescent="0.3">
      <c r="A87"/>
      <c r="B87" t="s">
        <v>19</v>
      </c>
      <c r="C87" t="s">
        <v>18</v>
      </c>
      <c r="D87">
        <v>53</v>
      </c>
      <c r="E87" s="7">
        <v>24.62</v>
      </c>
      <c r="F87">
        <v>1.3</v>
      </c>
      <c r="G87" s="7">
        <v>1696.32</v>
      </c>
      <c r="H87">
        <v>8.8699999999999992</v>
      </c>
    </row>
    <row r="88" spans="1:8" x14ac:dyDescent="0.3">
      <c r="A88"/>
      <c r="B88" t="s">
        <v>20</v>
      </c>
      <c r="C88" t="s">
        <v>27</v>
      </c>
      <c r="D88">
        <v>48.33</v>
      </c>
      <c r="E88" s="7">
        <v>519.79999999999995</v>
      </c>
      <c r="F88">
        <v>1.3</v>
      </c>
      <c r="G88" s="7">
        <v>32658.51</v>
      </c>
      <c r="H88">
        <v>9.75</v>
      </c>
    </row>
    <row r="89" spans="1:8" x14ac:dyDescent="0.3">
      <c r="A89" s="6" t="s">
        <v>43</v>
      </c>
      <c r="B89" s="6" t="s">
        <v>44</v>
      </c>
      <c r="C89"/>
      <c r="D89"/>
      <c r="E89" s="7"/>
      <c r="F89"/>
      <c r="G89" s="9">
        <f>SUM(G90:G98)</f>
        <v>74616.38</v>
      </c>
      <c r="H89" s="6">
        <f>SUM(H90:H98)</f>
        <v>53.239999999999995</v>
      </c>
    </row>
    <row r="90" spans="1:8" x14ac:dyDescent="0.3">
      <c r="A90"/>
      <c r="B90" t="s">
        <v>33</v>
      </c>
      <c r="C90" t="s">
        <v>10</v>
      </c>
      <c r="D90">
        <v>23.57</v>
      </c>
      <c r="E90" s="7">
        <v>32.85</v>
      </c>
      <c r="F90">
        <v>1.3</v>
      </c>
      <c r="G90" s="7">
        <v>1006.56</v>
      </c>
      <c r="H90">
        <v>5.7</v>
      </c>
    </row>
    <row r="91" spans="1:8" x14ac:dyDescent="0.3">
      <c r="A91"/>
      <c r="B91" t="s">
        <v>16</v>
      </c>
      <c r="C91" t="s">
        <v>27</v>
      </c>
      <c r="D91">
        <v>21.63</v>
      </c>
      <c r="E91" s="7">
        <v>494.12</v>
      </c>
      <c r="F91">
        <v>1.3</v>
      </c>
      <c r="G91" s="7">
        <v>13894.16</v>
      </c>
      <c r="H91">
        <v>10.47</v>
      </c>
    </row>
    <row r="92" spans="1:8" x14ac:dyDescent="0.3">
      <c r="A92"/>
      <c r="B92" t="s">
        <v>16</v>
      </c>
      <c r="C92" t="s">
        <v>10</v>
      </c>
      <c r="D92">
        <v>39.94</v>
      </c>
      <c r="E92" s="7">
        <v>245.09</v>
      </c>
      <c r="F92">
        <v>1.3</v>
      </c>
      <c r="G92" s="7">
        <v>12725.56</v>
      </c>
      <c r="H92">
        <v>3.42</v>
      </c>
    </row>
    <row r="93" spans="1:8" x14ac:dyDescent="0.3">
      <c r="A93"/>
      <c r="B93" t="s">
        <v>15</v>
      </c>
      <c r="C93" t="s">
        <v>11</v>
      </c>
      <c r="D93">
        <v>21.72</v>
      </c>
      <c r="E93" s="7">
        <v>310.55</v>
      </c>
      <c r="F93">
        <v>1.3</v>
      </c>
      <c r="G93" s="7">
        <v>8768.69</v>
      </c>
      <c r="H93">
        <v>8.19</v>
      </c>
    </row>
    <row r="94" spans="1:8" x14ac:dyDescent="0.3">
      <c r="A94"/>
      <c r="B94" t="s">
        <v>21</v>
      </c>
      <c r="C94" t="s">
        <v>11</v>
      </c>
      <c r="D94">
        <v>56.41</v>
      </c>
      <c r="E94" s="7">
        <v>78.05</v>
      </c>
      <c r="F94">
        <v>1.3</v>
      </c>
      <c r="G94" s="7">
        <v>5723.64</v>
      </c>
      <c r="H94">
        <v>11.65</v>
      </c>
    </row>
    <row r="95" spans="1:8" x14ac:dyDescent="0.3">
      <c r="A95"/>
      <c r="B95" t="s">
        <v>33</v>
      </c>
      <c r="C95" t="s">
        <v>11</v>
      </c>
      <c r="D95">
        <v>3.26</v>
      </c>
      <c r="E95" s="7">
        <v>361.98</v>
      </c>
      <c r="F95">
        <v>1.3</v>
      </c>
      <c r="G95" s="7">
        <v>1534.07</v>
      </c>
      <c r="H95">
        <v>4.21</v>
      </c>
    </row>
    <row r="96" spans="1:8" x14ac:dyDescent="0.3">
      <c r="A96"/>
      <c r="B96" t="s">
        <v>19</v>
      </c>
      <c r="C96" t="s">
        <v>11</v>
      </c>
      <c r="D96">
        <v>26.75</v>
      </c>
      <c r="E96" s="7">
        <v>590.70000000000005</v>
      </c>
      <c r="F96">
        <v>1.3</v>
      </c>
      <c r="G96" s="7">
        <v>20541.59</v>
      </c>
      <c r="H96">
        <v>1.48</v>
      </c>
    </row>
    <row r="97" spans="1:8" x14ac:dyDescent="0.3">
      <c r="A97"/>
      <c r="B97" t="s">
        <v>38</v>
      </c>
      <c r="C97" t="s">
        <v>18</v>
      </c>
      <c r="D97">
        <v>16.03</v>
      </c>
      <c r="E97" s="7">
        <v>428.18</v>
      </c>
      <c r="F97">
        <v>1.3</v>
      </c>
      <c r="G97" s="7">
        <v>8922.84</v>
      </c>
      <c r="H97">
        <v>0.12</v>
      </c>
    </row>
    <row r="98" spans="1:8" x14ac:dyDescent="0.3">
      <c r="A98"/>
      <c r="B98" t="s">
        <v>19</v>
      </c>
      <c r="C98" t="s">
        <v>18</v>
      </c>
      <c r="D98">
        <v>22.49</v>
      </c>
      <c r="E98" s="7">
        <v>51.28</v>
      </c>
      <c r="F98">
        <v>1.3</v>
      </c>
      <c r="G98" s="7">
        <v>1499.27</v>
      </c>
      <c r="H98">
        <v>8</v>
      </c>
    </row>
    <row r="99" spans="1:8" x14ac:dyDescent="0.3">
      <c r="A99" s="6" t="s">
        <v>45</v>
      </c>
      <c r="B99" s="6" t="s">
        <v>46</v>
      </c>
      <c r="C99"/>
      <c r="D99"/>
      <c r="E99" s="7"/>
      <c r="F99"/>
      <c r="G99" s="9">
        <f>SUM(G100:G109)</f>
        <v>86139.87</v>
      </c>
      <c r="H99" s="6">
        <f>SUM(H100:H109)</f>
        <v>58.57</v>
      </c>
    </row>
    <row r="100" spans="1:8" x14ac:dyDescent="0.3">
      <c r="A100"/>
      <c r="B100" t="s">
        <v>38</v>
      </c>
      <c r="C100" t="s">
        <v>11</v>
      </c>
      <c r="D100">
        <v>40.14</v>
      </c>
      <c r="E100" s="7">
        <v>83.53</v>
      </c>
      <c r="F100">
        <v>1.3</v>
      </c>
      <c r="G100" s="7">
        <v>4358.76</v>
      </c>
      <c r="H100">
        <v>10.81</v>
      </c>
    </row>
    <row r="101" spans="1:8" x14ac:dyDescent="0.3">
      <c r="A101"/>
      <c r="B101" t="s">
        <v>28</v>
      </c>
      <c r="C101" t="s">
        <v>11</v>
      </c>
      <c r="D101">
        <v>40.35</v>
      </c>
      <c r="E101" s="7">
        <v>202.45</v>
      </c>
      <c r="F101">
        <v>1.3</v>
      </c>
      <c r="G101" s="7">
        <v>10619.51</v>
      </c>
      <c r="H101">
        <v>8.4</v>
      </c>
    </row>
    <row r="102" spans="1:8" x14ac:dyDescent="0.3">
      <c r="A102"/>
      <c r="B102" t="s">
        <v>28</v>
      </c>
      <c r="C102" t="s">
        <v>18</v>
      </c>
      <c r="D102">
        <v>12.32</v>
      </c>
      <c r="E102" s="7">
        <v>402.31</v>
      </c>
      <c r="F102">
        <v>1.3</v>
      </c>
      <c r="G102" s="7">
        <v>6443.4</v>
      </c>
      <c r="H102">
        <v>4.6100000000000003</v>
      </c>
    </row>
    <row r="103" spans="1:8" x14ac:dyDescent="0.3">
      <c r="A103"/>
      <c r="B103" t="s">
        <v>25</v>
      </c>
      <c r="C103" t="s">
        <v>18</v>
      </c>
      <c r="D103">
        <v>37.32</v>
      </c>
      <c r="E103" s="7">
        <v>187.56</v>
      </c>
      <c r="F103">
        <v>1.3</v>
      </c>
      <c r="G103" s="7">
        <v>9099.66</v>
      </c>
      <c r="H103">
        <v>6.62</v>
      </c>
    </row>
    <row r="104" spans="1:8" x14ac:dyDescent="0.3">
      <c r="A104"/>
      <c r="B104" t="s">
        <v>30</v>
      </c>
      <c r="C104" t="s">
        <v>11</v>
      </c>
      <c r="D104">
        <v>17.93</v>
      </c>
      <c r="E104" s="7">
        <v>263.63</v>
      </c>
      <c r="F104">
        <v>1.3</v>
      </c>
      <c r="G104" s="7">
        <v>6144.95</v>
      </c>
      <c r="H104">
        <v>7</v>
      </c>
    </row>
    <row r="105" spans="1:8" x14ac:dyDescent="0.3">
      <c r="A105"/>
      <c r="B105" t="s">
        <v>26</v>
      </c>
      <c r="C105" t="s">
        <v>11</v>
      </c>
      <c r="D105">
        <v>28.43</v>
      </c>
      <c r="E105" s="7">
        <v>270.87</v>
      </c>
      <c r="F105">
        <v>1.3</v>
      </c>
      <c r="G105" s="7">
        <v>10011.08</v>
      </c>
      <c r="H105">
        <v>2.64</v>
      </c>
    </row>
    <row r="106" spans="1:8" x14ac:dyDescent="0.3">
      <c r="A106"/>
      <c r="B106" t="s">
        <v>29</v>
      </c>
      <c r="C106" t="s">
        <v>18</v>
      </c>
      <c r="D106">
        <v>39.869999999999997</v>
      </c>
      <c r="E106" s="7">
        <v>177.43</v>
      </c>
      <c r="F106">
        <v>1.3</v>
      </c>
      <c r="G106" s="7">
        <v>9196.3700000000008</v>
      </c>
      <c r="H106">
        <v>8</v>
      </c>
    </row>
    <row r="107" spans="1:8" x14ac:dyDescent="0.3">
      <c r="A107"/>
      <c r="B107" t="s">
        <v>38</v>
      </c>
      <c r="C107" t="s">
        <v>11</v>
      </c>
      <c r="D107">
        <v>6.51</v>
      </c>
      <c r="E107" s="7">
        <v>571.67999999999995</v>
      </c>
      <c r="F107">
        <v>1.3</v>
      </c>
      <c r="G107" s="7">
        <v>4838.13</v>
      </c>
      <c r="H107">
        <v>2.89</v>
      </c>
    </row>
    <row r="108" spans="1:8" x14ac:dyDescent="0.3">
      <c r="A108"/>
      <c r="B108" t="s">
        <v>22</v>
      </c>
      <c r="C108" t="s">
        <v>18</v>
      </c>
      <c r="D108">
        <v>48.59</v>
      </c>
      <c r="E108" s="7">
        <v>96.94</v>
      </c>
      <c r="F108">
        <v>1.3</v>
      </c>
      <c r="G108" s="7">
        <v>6123.41</v>
      </c>
      <c r="H108">
        <v>0.65</v>
      </c>
    </row>
    <row r="109" spans="1:8" x14ac:dyDescent="0.3">
      <c r="A109"/>
      <c r="B109" t="s">
        <v>29</v>
      </c>
      <c r="C109" t="s">
        <v>10</v>
      </c>
      <c r="D109">
        <v>27.87</v>
      </c>
      <c r="E109" s="7">
        <v>532.82000000000005</v>
      </c>
      <c r="F109">
        <v>1.3</v>
      </c>
      <c r="G109" s="7">
        <v>19304.599999999999</v>
      </c>
      <c r="H109">
        <v>6.95</v>
      </c>
    </row>
    <row r="110" spans="1:8" x14ac:dyDescent="0.3">
      <c r="A110" s="6" t="s">
        <v>47</v>
      </c>
      <c r="B110" s="6" t="s">
        <v>48</v>
      </c>
      <c r="C110"/>
      <c r="D110"/>
      <c r="E110" s="7"/>
      <c r="F110"/>
      <c r="G110" s="9">
        <f>SUM(G111:G121)</f>
        <v>151870.17000000001</v>
      </c>
      <c r="H110" s="6">
        <f>SUM(H111:H121)</f>
        <v>81.27</v>
      </c>
    </row>
    <row r="111" spans="1:8" x14ac:dyDescent="0.3">
      <c r="A111"/>
      <c r="B111" t="s">
        <v>29</v>
      </c>
      <c r="C111" t="s">
        <v>27</v>
      </c>
      <c r="D111">
        <v>15.4</v>
      </c>
      <c r="E111" s="7">
        <v>397.07</v>
      </c>
      <c r="F111">
        <v>1.3</v>
      </c>
      <c r="G111" s="7">
        <v>7949.34</v>
      </c>
      <c r="H111">
        <v>0.17</v>
      </c>
    </row>
    <row r="112" spans="1:8" x14ac:dyDescent="0.3">
      <c r="A112"/>
      <c r="B112" t="s">
        <v>19</v>
      </c>
      <c r="C112" t="s">
        <v>10</v>
      </c>
      <c r="D112">
        <v>46.93</v>
      </c>
      <c r="E112" s="7">
        <v>139.12</v>
      </c>
      <c r="F112">
        <v>1.3</v>
      </c>
      <c r="G112" s="7">
        <v>8487.57</v>
      </c>
      <c r="H112">
        <v>9.67</v>
      </c>
    </row>
    <row r="113" spans="1:8" x14ac:dyDescent="0.3">
      <c r="A113"/>
      <c r="B113" t="s">
        <v>25</v>
      </c>
      <c r="C113" t="s">
        <v>27</v>
      </c>
      <c r="D113">
        <v>3.96</v>
      </c>
      <c r="E113" s="7">
        <v>157.03</v>
      </c>
      <c r="F113">
        <v>1.3</v>
      </c>
      <c r="G113" s="7">
        <v>808.39</v>
      </c>
      <c r="H113">
        <v>10.199999999999999</v>
      </c>
    </row>
    <row r="114" spans="1:8" x14ac:dyDescent="0.3">
      <c r="A114"/>
      <c r="B114" t="s">
        <v>29</v>
      </c>
      <c r="C114" t="s">
        <v>18</v>
      </c>
      <c r="D114">
        <v>48.28</v>
      </c>
      <c r="E114" s="7">
        <v>403.87</v>
      </c>
      <c r="F114">
        <v>1.3</v>
      </c>
      <c r="G114" s="7">
        <v>25348.5</v>
      </c>
      <c r="H114">
        <v>11.86</v>
      </c>
    </row>
    <row r="115" spans="1:8" x14ac:dyDescent="0.3">
      <c r="A115"/>
      <c r="B115" t="s">
        <v>38</v>
      </c>
      <c r="C115" t="s">
        <v>11</v>
      </c>
      <c r="D115">
        <v>57.05</v>
      </c>
      <c r="E115" s="7">
        <v>535.94000000000005</v>
      </c>
      <c r="F115">
        <v>1.3</v>
      </c>
      <c r="G115" s="7">
        <v>39747.99</v>
      </c>
      <c r="H115">
        <v>7.39</v>
      </c>
    </row>
    <row r="116" spans="1:8" x14ac:dyDescent="0.3">
      <c r="A116"/>
      <c r="B116" t="s">
        <v>25</v>
      </c>
      <c r="C116" t="s">
        <v>27</v>
      </c>
      <c r="D116">
        <v>50</v>
      </c>
      <c r="E116" s="7">
        <v>333.24</v>
      </c>
      <c r="F116">
        <v>1.3</v>
      </c>
      <c r="G116" s="7">
        <v>21660.6</v>
      </c>
      <c r="H116">
        <v>10.78</v>
      </c>
    </row>
    <row r="117" spans="1:8" x14ac:dyDescent="0.3">
      <c r="A117"/>
      <c r="B117" t="s">
        <v>25</v>
      </c>
      <c r="C117" t="s">
        <v>27</v>
      </c>
      <c r="D117">
        <v>27.55</v>
      </c>
      <c r="E117" s="7">
        <v>453.55</v>
      </c>
      <c r="F117">
        <v>1.3</v>
      </c>
      <c r="G117" s="7">
        <v>16243.89</v>
      </c>
      <c r="H117">
        <v>10.09</v>
      </c>
    </row>
    <row r="118" spans="1:8" x14ac:dyDescent="0.3">
      <c r="A118"/>
      <c r="B118" t="s">
        <v>22</v>
      </c>
      <c r="C118" t="s">
        <v>27</v>
      </c>
      <c r="D118">
        <v>37.979999999999997</v>
      </c>
      <c r="E118" s="7">
        <v>172.01</v>
      </c>
      <c r="F118">
        <v>1.3</v>
      </c>
      <c r="G118" s="7">
        <v>8492.82</v>
      </c>
      <c r="H118">
        <v>1.02</v>
      </c>
    </row>
    <row r="119" spans="1:8" x14ac:dyDescent="0.3">
      <c r="A119"/>
      <c r="B119" t="s">
        <v>22</v>
      </c>
      <c r="C119" t="s">
        <v>18</v>
      </c>
      <c r="D119">
        <v>17.03</v>
      </c>
      <c r="E119" s="7">
        <v>198.63</v>
      </c>
      <c r="F119">
        <v>1.3</v>
      </c>
      <c r="G119" s="7">
        <v>4397.47</v>
      </c>
      <c r="H119">
        <v>6.53</v>
      </c>
    </row>
    <row r="120" spans="1:8" x14ac:dyDescent="0.3">
      <c r="A120"/>
      <c r="B120" t="s">
        <v>33</v>
      </c>
      <c r="C120" t="s">
        <v>18</v>
      </c>
      <c r="D120">
        <v>14.64</v>
      </c>
      <c r="E120" s="7">
        <v>419.43</v>
      </c>
      <c r="F120">
        <v>1.3</v>
      </c>
      <c r="G120" s="7">
        <v>7982.59</v>
      </c>
      <c r="H120">
        <v>8.51</v>
      </c>
    </row>
    <row r="121" spans="1:8" x14ac:dyDescent="0.3">
      <c r="B121" t="s">
        <v>15</v>
      </c>
      <c r="C121" t="s">
        <v>27</v>
      </c>
      <c r="D121">
        <v>25.05</v>
      </c>
      <c r="E121" s="7">
        <v>330.14</v>
      </c>
      <c r="F121">
        <v>1.3</v>
      </c>
      <c r="G121" s="7">
        <v>10751.01</v>
      </c>
      <c r="H121">
        <v>5.05</v>
      </c>
    </row>
  </sheetData>
  <mergeCells count="9">
    <mergeCell ref="A1:I1"/>
    <mergeCell ref="A3:I3"/>
    <mergeCell ref="A5:A6"/>
    <mergeCell ref="B5:B6"/>
    <mergeCell ref="C5:C6"/>
    <mergeCell ref="D5:D6"/>
    <mergeCell ref="E5:F5"/>
    <mergeCell ref="G5:G6"/>
    <mergeCell ref="H5:H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2025-12-11T17:57:32Z</dcterms:created>
  <dcterms:modified xsi:type="dcterms:W3CDTF">2026-01-23T03:34:31Z</dcterms:modified>
</cp:coreProperties>
</file>